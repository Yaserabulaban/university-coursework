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alaysia\MMU_Studies\Year 3\2nd Long Trimester\Data Visualization\Assignment\"/>
    </mc:Choice>
  </mc:AlternateContent>
  <xr:revisionPtr revIDLastSave="0" documentId="13_ncr:1_{74473432-1A4C-4DF2-851B-EFBF6E0CBC3B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  <c r="R29" i="1"/>
  <c r="R30" i="1"/>
  <c r="R31" i="1"/>
  <c r="R32" i="1"/>
  <c r="R33" i="1"/>
  <c r="R17" i="1"/>
  <c r="R22" i="1"/>
  <c r="R23" i="1"/>
  <c r="R24" i="1"/>
  <c r="R25" i="1"/>
  <c r="R26" i="1"/>
  <c r="R27" i="1"/>
  <c r="R13" i="1"/>
  <c r="R14" i="1"/>
  <c r="R15" i="1"/>
  <c r="R16" i="1"/>
  <c r="R18" i="1"/>
  <c r="R19" i="1"/>
  <c r="R20" i="1"/>
  <c r="R21" i="1"/>
  <c r="R12" i="1"/>
  <c r="R3" i="1"/>
  <c r="R4" i="1"/>
  <c r="R5" i="1"/>
  <c r="R6" i="1"/>
  <c r="R7" i="1"/>
  <c r="R8" i="1"/>
  <c r="R9" i="1"/>
  <c r="R10" i="1"/>
  <c r="R11" i="1"/>
  <c r="R2" i="1"/>
</calcChain>
</file>

<file path=xl/sharedStrings.xml><?xml version="1.0" encoding="utf-8"?>
<sst xmlns="http://schemas.openxmlformats.org/spreadsheetml/2006/main" count="455" uniqueCount="187">
  <si>
    <t>PlanID</t>
  </si>
  <si>
    <t>Provider</t>
  </si>
  <si>
    <t>Brand</t>
  </si>
  <si>
    <t>Plan Category</t>
  </si>
  <si>
    <t>Plan Name / Label</t>
  </si>
  <si>
    <t>Price_RM</t>
  </si>
  <si>
    <t>Advertised Data</t>
  </si>
  <si>
    <t>Total Data for Analysis_GB</t>
  </si>
  <si>
    <t>Data Type</t>
  </si>
  <si>
    <t>Speed Cap / Speed Label</t>
  </si>
  <si>
    <t>Hotspot Included</t>
  </si>
  <si>
    <t>Calls Included</t>
  </si>
  <si>
    <t>Validity_Days</t>
  </si>
  <si>
    <t>5G Included</t>
  </si>
  <si>
    <t>Night Uncapped 5G</t>
  </si>
  <si>
    <t>Roaming / Extra Benefits</t>
  </si>
  <si>
    <t>Notes</t>
  </si>
  <si>
    <t>H001</t>
  </si>
  <si>
    <t>Maxis</t>
  </si>
  <si>
    <t>Hotlink</t>
  </si>
  <si>
    <t>Unlimited Pass</t>
  </si>
  <si>
    <t>Uncapped Speed 400GB</t>
  </si>
  <si>
    <t>Unlimited data uncapped speed (400GB)</t>
  </si>
  <si>
    <t>Unlimited with FUP</t>
  </si>
  <si>
    <t>Uncapped Speed</t>
  </si>
  <si>
    <t>Yes</t>
  </si>
  <si>
    <t>No</t>
  </si>
  <si>
    <t>Usable in Malaysia, Singapore, Indonesia and Thailand; Free Sooka Live Sports</t>
  </si>
  <si>
    <t>Free Sooka and Free Roaming labels shown</t>
  </si>
  <si>
    <t>H002</t>
  </si>
  <si>
    <t>Uncapped Speed 200GB</t>
  </si>
  <si>
    <t>Unlimited data uncapped speed (200GB)</t>
  </si>
  <si>
    <t>None shown</t>
  </si>
  <si>
    <t>H003</t>
  </si>
  <si>
    <t>48Mbps Best Value</t>
  </si>
  <si>
    <t>Unlimited data (200GB)</t>
  </si>
  <si>
    <t>48 Mbps</t>
  </si>
  <si>
    <t>Yes, 8pm-8am</t>
  </si>
  <si>
    <t>Best Value label shown</t>
  </si>
  <si>
    <t>H004</t>
  </si>
  <si>
    <t>12Mbps Most Affordable</t>
  </si>
  <si>
    <t>Unlimited data (40GB)</t>
  </si>
  <si>
    <t>12 Mbps</t>
  </si>
  <si>
    <t>Most Affordable label shown</t>
  </si>
  <si>
    <t>H005</t>
  </si>
  <si>
    <t>6Mbps 7 Days</t>
  </si>
  <si>
    <t>Unlimited data (20GB)</t>
  </si>
  <si>
    <t>6 Mbps</t>
  </si>
  <si>
    <t>7 Days label shown</t>
  </si>
  <si>
    <t>H006</t>
  </si>
  <si>
    <t>6Mbps 1 Day</t>
  </si>
  <si>
    <t>Unlimited data (6GB)</t>
  </si>
  <si>
    <t>1 Day label shown</t>
  </si>
  <si>
    <t>H007</t>
  </si>
  <si>
    <t>High Speed Pass</t>
  </si>
  <si>
    <t>7GB High Speed Add-on</t>
  </si>
  <si>
    <t>7GB high speed</t>
  </si>
  <si>
    <t>Fixed quota</t>
  </si>
  <si>
    <t>High Speed</t>
  </si>
  <si>
    <t>No / Not stated</t>
  </si>
  <si>
    <t>Depends on active 30-day pass</t>
  </si>
  <si>
    <t>Not stated</t>
  </si>
  <si>
    <t>Expiry follows active 30-day internet pass</t>
  </si>
  <si>
    <t>H008</t>
  </si>
  <si>
    <t>Other Pass</t>
  </si>
  <si>
    <t>100GB</t>
  </si>
  <si>
    <t>50GB 4G/5G + 50GB 5G</t>
  </si>
  <si>
    <t>Split data quota: 50GB 4G/5G and 50GB 5G</t>
  </si>
  <si>
    <t>H009</t>
  </si>
  <si>
    <t>60GB</t>
  </si>
  <si>
    <t>30GB 4G/5G + 30GB 5G</t>
  </si>
  <si>
    <t>Split data quota: 30GB 4G/5G and 30GB 5G</t>
  </si>
  <si>
    <t>H010</t>
  </si>
  <si>
    <t>20GB</t>
  </si>
  <si>
    <t>10GB 4G/5G + 10GB 5G</t>
  </si>
  <si>
    <t>Split data quota: 10GB 4G/5G and 10GB 5G</t>
  </si>
  <si>
    <t>H011</t>
  </si>
  <si>
    <t>3GB</t>
  </si>
  <si>
    <t>RM per GB</t>
  </si>
  <si>
    <t>D001</t>
  </si>
  <si>
    <t>CelcomDigi</t>
  </si>
  <si>
    <t>Digi</t>
  </si>
  <si>
    <t>5G Power 45</t>
  </si>
  <si>
    <t>Unlimited @ 48Mbps, FUP 200GB</t>
  </si>
  <si>
    <t>LTE / 5G / 4G</t>
  </si>
  <si>
    <t>FUP stated as 200GB; hotspot quota shown as unlimited from FUP</t>
  </si>
  <si>
    <t>D002</t>
  </si>
  <si>
    <t>5G 69 Unlimited</t>
  </si>
  <si>
    <t>Unlimited 12Mbps + 125GB at 100Mbps</t>
  </si>
  <si>
    <t>Unlimited + high-speed quota</t>
  </si>
  <si>
    <t>12 Mbps unlimited + 100 Mbps quota</t>
  </si>
  <si>
    <t>Use 125GB as high-speed data for analysis</t>
  </si>
  <si>
    <t>D003</t>
  </si>
  <si>
    <t>Roaming / Border Pass</t>
  </si>
  <si>
    <t>90-Day MY-SG Border Pass</t>
  </si>
  <si>
    <t>300GB high-speed internet</t>
  </si>
  <si>
    <t>Malaysia 100GB + Singapore 200GB; use M1 in Singapore</t>
  </si>
  <si>
    <t>Cross-border Malaysia-Singapore pass</t>
  </si>
  <si>
    <t>D004</t>
  </si>
  <si>
    <t>Internet Pass</t>
  </si>
  <si>
    <t>3GB Internet</t>
  </si>
  <si>
    <t>Basic 1-day internet pass</t>
  </si>
  <si>
    <t>D005</t>
  </si>
  <si>
    <t>Unlimited Internet 6Mbps</t>
  </si>
  <si>
    <t>Unlimited internet 6Mbps</t>
  </si>
  <si>
    <t>Unlimited</t>
  </si>
  <si>
    <t>Unlimited local calls included</t>
  </si>
  <si>
    <t>D006</t>
  </si>
  <si>
    <t>5G 49 Unlimited</t>
  </si>
  <si>
    <t>Unlimited 12Mbps + 85GB at 100Mbps</t>
  </si>
  <si>
    <t>Use 85GB as high-speed data for analysis</t>
  </si>
  <si>
    <t>D007</t>
  </si>
  <si>
    <t>Unlimited 40</t>
  </si>
  <si>
    <t>Unlimited 12Mbps + 10GB high speed</t>
  </si>
  <si>
    <t>12 Mbps unlimited + high-speed quota</t>
  </si>
  <si>
    <t>Use 10GB as high-speed data for analysis</t>
  </si>
  <si>
    <t>D008</t>
  </si>
  <si>
    <t>DataSIM Pass</t>
  </si>
  <si>
    <t>5G DataSIM 65 500GB</t>
  </si>
  <si>
    <t>500GB</t>
  </si>
  <si>
    <t>No / Data only</t>
  </si>
  <si>
    <t>DataSIM plan; hotspot shared with main quota</t>
  </si>
  <si>
    <t>D009</t>
  </si>
  <si>
    <t>High Speed 2025GB</t>
  </si>
  <si>
    <t>2025GB high speed</t>
  </si>
  <si>
    <t>LTE / 4G</t>
  </si>
  <si>
    <t>5G icon not shown; LTE and 4G only</t>
  </si>
  <si>
    <t>U001</t>
  </si>
  <si>
    <t>U Mobile</t>
  </si>
  <si>
    <t>UNI5G</t>
  </si>
  <si>
    <t>UNI5G WOW PADU</t>
  </si>
  <si>
    <t>UNI5G WOW PADU 35</t>
  </si>
  <si>
    <t>1000GB Data</t>
  </si>
  <si>
    <t>5G: Best Effort; 4G: 5Mbps</t>
  </si>
  <si>
    <t>Best Seller; 800GB 5G + 200GB 4G/5G; 10GB Hotspot; Online exclusive offer: Free 50GB 5G Hotspot</t>
  </si>
  <si>
    <t>U002</t>
  </si>
  <si>
    <t>UNI5G WOW PADU 25</t>
  </si>
  <si>
    <t>100GB Data</t>
  </si>
  <si>
    <t>Popular Choice; 70GB 5G + 30GB 5G/4G; hotspot shared quota</t>
  </si>
  <si>
    <t>U003</t>
  </si>
  <si>
    <t>UNI5G WOW PADU 10</t>
  </si>
  <si>
    <t>20GB Data</t>
  </si>
  <si>
    <t>20GB 4G/5G; hotspot shared quota</t>
  </si>
  <si>
    <t>U004</t>
  </si>
  <si>
    <t>UNI5G WOW PADU 50</t>
  </si>
  <si>
    <t>5G: Best Effort; 4G: 7Mbps</t>
  </si>
  <si>
    <t>10GB 4G/5G + 990GB 5G; 100GB for Mobile Legend &amp; PUBG; hotspot shared quota</t>
  </si>
  <si>
    <t>U005</t>
  </si>
  <si>
    <t>UNI5G WOW Long Validity</t>
  </si>
  <si>
    <t>UNI5G WOW 12 Months</t>
  </si>
  <si>
    <t>120GB Data</t>
  </si>
  <si>
    <t>Uncapped 5G Speed, All-Day Long</t>
  </si>
  <si>
    <t>100GB 5G + 20GB 5G/4G; hotspot shared quota</t>
  </si>
  <si>
    <t>U006</t>
  </si>
  <si>
    <t>UNI5G WOW 3 Months</t>
  </si>
  <si>
    <t>15GB Data</t>
  </si>
  <si>
    <t>12GB 5G + 3GB 5G/4G; hotspot shared quota</t>
  </si>
  <si>
    <t>Y001</t>
  </si>
  <si>
    <t>Yes 5G Advanced</t>
  </si>
  <si>
    <t>Prepaid Plan</t>
  </si>
  <si>
    <t>5G Advanced Starter Pack</t>
  </si>
  <si>
    <t>20GB data with uncapped speed</t>
  </si>
  <si>
    <t>Uncapped speed</t>
  </si>
  <si>
    <t>New; 5G Advanced &amp; 4G; shared hotspot; unlimited on-net SMS</t>
  </si>
  <si>
    <t>Y002</t>
  </si>
  <si>
    <t>5G Advanced Prepaid 20</t>
  </si>
  <si>
    <t>50GB data with uncapped speed</t>
  </si>
  <si>
    <t>Data rollover; 5G Advanced &amp; 4G; shared hotspot; unlimited on-net SMS</t>
  </si>
  <si>
    <t>Y003</t>
  </si>
  <si>
    <t>5G Advanced Prepaid 30</t>
  </si>
  <si>
    <t>Uncapped 5G Advanced data and speed + uncapped 4G up to 7Mbps</t>
  </si>
  <si>
    <t>5G Advanced: uncapped speed; 4G: up to 7Mbps</t>
  </si>
  <si>
    <t>RM5 off with AutoPay; 12GB hotspot; unlimited on-net SMS</t>
  </si>
  <si>
    <t>TT001</t>
  </si>
  <si>
    <t>Tune Talk</t>
  </si>
  <si>
    <t>Epik+</t>
  </si>
  <si>
    <t>Epik+ 28</t>
  </si>
  <si>
    <t>50GB</t>
  </si>
  <si>
    <t>Uncapped speed up to 900Mbps; No FUP</t>
  </si>
  <si>
    <t>All-day Ultra Fast 5G; unlimited calls to all networks; hotspot-enabled; monthly price shown</t>
  </si>
  <si>
    <t>TT002</t>
  </si>
  <si>
    <t>Epik+ 50</t>
  </si>
  <si>
    <t>For heavy users; RM2303 yearly value; pay RM50, get RM142/month valueback; monthly price shown</t>
  </si>
  <si>
    <t>TT003</t>
  </si>
  <si>
    <t>Epik+ 35</t>
  </si>
  <si>
    <t>200GB</t>
  </si>
  <si>
    <t>RM1260 yearly value; pay RM35, get RM70/month valueback; monthly price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</si>
</sst>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D1" sqref="D1"/>
    </sheetView>
  </sheetViews>
  <sheetFormatPr defaultRowHeight="15" x14ac:dyDescent="0.25"/>
  <cols>
    <col min="1" max="1" width="6.7109375" bestFit="1" customWidth="1"/>
    <col min="2" max="2" width="11" bestFit="1" customWidth="1"/>
    <col min="3" max="3" width="16" bestFit="1" customWidth="1"/>
    <col min="4" max="4" width="24.42578125" bestFit="1" customWidth="1"/>
    <col min="5" max="5" width="24.28515625" bestFit="1" customWidth="1"/>
    <col min="6" max="6" width="9.28515625" bestFit="1" customWidth="1"/>
    <col min="7" max="7" width="61.85546875" bestFit="1" customWidth="1"/>
    <col min="8" max="8" width="24.42578125" bestFit="1" customWidth="1"/>
    <col min="9" max="9" width="27.85546875" bestFit="1" customWidth="1"/>
    <col min="10" max="10" width="44.28515625" bestFit="1" customWidth="1"/>
    <col min="11" max="11" width="16.28515625" bestFit="1" customWidth="1"/>
    <col min="12" max="12" width="14.7109375" bestFit="1" customWidth="1"/>
    <col min="13" max="13" width="28.42578125" bestFit="1" customWidth="1"/>
    <col min="14" max="14" width="11.42578125" bestFit="1" customWidth="1"/>
    <col min="15" max="15" width="18.140625" bestFit="1" customWidth="1"/>
    <col min="16" max="16" width="71.42578125" bestFit="1" customWidth="1"/>
    <col min="17" max="17" width="91.5703125" bestFit="1" customWidth="1"/>
    <col min="18" max="18" width="10.1406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5" t="s">
        <v>15</v>
      </c>
      <c r="Q1" s="2" t="s">
        <v>16</v>
      </c>
      <c r="R1" s="2" t="s">
        <v>78</v>
      </c>
    </row>
    <row r="2" spans="1:18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55</v>
      </c>
      <c r="G2" s="1" t="s">
        <v>22</v>
      </c>
      <c r="H2" s="1">
        <v>400</v>
      </c>
      <c r="I2" s="1" t="s">
        <v>23</v>
      </c>
      <c r="J2" s="1" t="s">
        <v>24</v>
      </c>
      <c r="K2" s="1" t="s">
        <v>25</v>
      </c>
      <c r="L2" s="1" t="s">
        <v>25</v>
      </c>
      <c r="M2" s="1">
        <v>30</v>
      </c>
      <c r="N2" s="1" t="s">
        <v>25</v>
      </c>
      <c r="O2" s="1" t="s">
        <v>26</v>
      </c>
      <c r="P2" s="1" t="s">
        <v>27</v>
      </c>
      <c r="Q2" s="4" t="s">
        <v>28</v>
      </c>
      <c r="R2" s="3">
        <f>F2/H2</f>
        <v>0.13750000000000001</v>
      </c>
    </row>
    <row r="3" spans="1:18" x14ac:dyDescent="0.25">
      <c r="A3" s="1" t="s">
        <v>29</v>
      </c>
      <c r="B3" s="1" t="s">
        <v>18</v>
      </c>
      <c r="C3" s="1" t="s">
        <v>19</v>
      </c>
      <c r="D3" s="1" t="s">
        <v>20</v>
      </c>
      <c r="E3" s="1" t="s">
        <v>30</v>
      </c>
      <c r="F3" s="1">
        <v>50</v>
      </c>
      <c r="G3" s="1" t="s">
        <v>31</v>
      </c>
      <c r="H3" s="1">
        <v>200</v>
      </c>
      <c r="I3" s="1" t="s">
        <v>23</v>
      </c>
      <c r="J3" s="1" t="s">
        <v>24</v>
      </c>
      <c r="K3" s="1" t="s">
        <v>25</v>
      </c>
      <c r="L3" s="1" t="s">
        <v>25</v>
      </c>
      <c r="M3" s="1">
        <v>30</v>
      </c>
      <c r="N3" s="1" t="s">
        <v>25</v>
      </c>
      <c r="O3" s="1" t="s">
        <v>26</v>
      </c>
      <c r="P3" s="1" t="s">
        <v>32</v>
      </c>
      <c r="Q3" s="4"/>
      <c r="R3" s="3">
        <f t="shared" ref="R3:R33" si="0">F3/H3</f>
        <v>0.25</v>
      </c>
    </row>
    <row r="4" spans="1:18" x14ac:dyDescent="0.25">
      <c r="A4" s="1" t="s">
        <v>33</v>
      </c>
      <c r="B4" s="1" t="s">
        <v>18</v>
      </c>
      <c r="C4" s="1" t="s">
        <v>19</v>
      </c>
      <c r="D4" s="1" t="s">
        <v>20</v>
      </c>
      <c r="E4" s="1" t="s">
        <v>34</v>
      </c>
      <c r="F4" s="1">
        <v>40</v>
      </c>
      <c r="G4" s="1" t="s">
        <v>35</v>
      </c>
      <c r="H4" s="1">
        <v>200</v>
      </c>
      <c r="I4" s="1" t="s">
        <v>23</v>
      </c>
      <c r="J4" s="1" t="s">
        <v>36</v>
      </c>
      <c r="K4" s="1" t="s">
        <v>25</v>
      </c>
      <c r="L4" s="1" t="s">
        <v>25</v>
      </c>
      <c r="M4" s="1">
        <v>30</v>
      </c>
      <c r="N4" s="1" t="s">
        <v>25</v>
      </c>
      <c r="O4" s="1" t="s">
        <v>37</v>
      </c>
      <c r="P4" s="1" t="s">
        <v>32</v>
      </c>
      <c r="Q4" s="4" t="s">
        <v>38</v>
      </c>
      <c r="R4" s="3">
        <f t="shared" si="0"/>
        <v>0.2</v>
      </c>
    </row>
    <row r="5" spans="1:18" x14ac:dyDescent="0.25">
      <c r="A5" s="1" t="s">
        <v>39</v>
      </c>
      <c r="B5" s="1" t="s">
        <v>18</v>
      </c>
      <c r="C5" s="1" t="s">
        <v>19</v>
      </c>
      <c r="D5" s="1" t="s">
        <v>20</v>
      </c>
      <c r="E5" s="1" t="s">
        <v>40</v>
      </c>
      <c r="F5" s="1">
        <v>25</v>
      </c>
      <c r="G5" s="1" t="s">
        <v>41</v>
      </c>
      <c r="H5" s="1">
        <v>40</v>
      </c>
      <c r="I5" s="1" t="s">
        <v>23</v>
      </c>
      <c r="J5" s="1" t="s">
        <v>42</v>
      </c>
      <c r="K5" s="1" t="s">
        <v>25</v>
      </c>
      <c r="L5" s="1" t="s">
        <v>25</v>
      </c>
      <c r="M5" s="1">
        <v>30</v>
      </c>
      <c r="N5" s="1" t="s">
        <v>25</v>
      </c>
      <c r="O5" s="1" t="s">
        <v>37</v>
      </c>
      <c r="P5" s="1" t="s">
        <v>32</v>
      </c>
      <c r="Q5" s="4" t="s">
        <v>43</v>
      </c>
      <c r="R5" s="3">
        <f t="shared" si="0"/>
        <v>0.625</v>
      </c>
    </row>
    <row r="6" spans="1:18" x14ac:dyDescent="0.25">
      <c r="A6" s="1" t="s">
        <v>44</v>
      </c>
      <c r="B6" s="1" t="s">
        <v>18</v>
      </c>
      <c r="C6" s="1" t="s">
        <v>19</v>
      </c>
      <c r="D6" s="1" t="s">
        <v>20</v>
      </c>
      <c r="E6" s="1" t="s">
        <v>45</v>
      </c>
      <c r="F6" s="1">
        <v>12</v>
      </c>
      <c r="G6" s="1" t="s">
        <v>46</v>
      </c>
      <c r="H6" s="1">
        <v>20</v>
      </c>
      <c r="I6" s="1" t="s">
        <v>23</v>
      </c>
      <c r="J6" s="1" t="s">
        <v>47</v>
      </c>
      <c r="K6" s="1" t="s">
        <v>25</v>
      </c>
      <c r="L6" s="1" t="s">
        <v>25</v>
      </c>
      <c r="M6" s="1">
        <v>7</v>
      </c>
      <c r="N6" s="1" t="s">
        <v>25</v>
      </c>
      <c r="O6" s="1" t="s">
        <v>37</v>
      </c>
      <c r="P6" s="1" t="s">
        <v>32</v>
      </c>
      <c r="Q6" s="4" t="s">
        <v>48</v>
      </c>
      <c r="R6" s="3">
        <f t="shared" si="0"/>
        <v>0.6</v>
      </c>
    </row>
    <row r="7" spans="1:18" x14ac:dyDescent="0.25">
      <c r="A7" s="1" t="s">
        <v>49</v>
      </c>
      <c r="B7" s="1" t="s">
        <v>18</v>
      </c>
      <c r="C7" s="1" t="s">
        <v>19</v>
      </c>
      <c r="D7" s="1" t="s">
        <v>20</v>
      </c>
      <c r="E7" s="1" t="s">
        <v>50</v>
      </c>
      <c r="F7" s="1">
        <v>4</v>
      </c>
      <c r="G7" s="1" t="s">
        <v>51</v>
      </c>
      <c r="H7" s="1">
        <v>6</v>
      </c>
      <c r="I7" s="1" t="s">
        <v>23</v>
      </c>
      <c r="J7" s="1" t="s">
        <v>47</v>
      </c>
      <c r="K7" s="1" t="s">
        <v>25</v>
      </c>
      <c r="L7" s="1" t="s">
        <v>25</v>
      </c>
      <c r="M7" s="1">
        <v>1</v>
      </c>
      <c r="N7" s="1" t="s">
        <v>25</v>
      </c>
      <c r="O7" s="1" t="s">
        <v>37</v>
      </c>
      <c r="P7" s="1" t="s">
        <v>32</v>
      </c>
      <c r="Q7" s="4" t="s">
        <v>52</v>
      </c>
      <c r="R7" s="3">
        <f t="shared" si="0"/>
        <v>0.66666666666666663</v>
      </c>
    </row>
    <row r="8" spans="1:18" x14ac:dyDescent="0.25">
      <c r="A8" s="1" t="s">
        <v>53</v>
      </c>
      <c r="B8" s="1" t="s">
        <v>18</v>
      </c>
      <c r="C8" s="1" t="s">
        <v>19</v>
      </c>
      <c r="D8" s="1" t="s">
        <v>54</v>
      </c>
      <c r="E8" s="1" t="s">
        <v>55</v>
      </c>
      <c r="F8" s="1">
        <v>5</v>
      </c>
      <c r="G8" s="1" t="s">
        <v>56</v>
      </c>
      <c r="H8" s="1">
        <v>7</v>
      </c>
      <c r="I8" s="1" t="s">
        <v>57</v>
      </c>
      <c r="J8" s="1" t="s">
        <v>58</v>
      </c>
      <c r="K8" s="1" t="s">
        <v>25</v>
      </c>
      <c r="L8" s="1" t="s">
        <v>59</v>
      </c>
      <c r="M8" s="1" t="s">
        <v>60</v>
      </c>
      <c r="N8" s="1" t="s">
        <v>61</v>
      </c>
      <c r="O8" s="1" t="s">
        <v>26</v>
      </c>
      <c r="P8" s="1" t="s">
        <v>32</v>
      </c>
      <c r="Q8" s="4" t="s">
        <v>62</v>
      </c>
      <c r="R8" s="3">
        <f t="shared" si="0"/>
        <v>0.7142857142857143</v>
      </c>
    </row>
    <row r="9" spans="1:18" x14ac:dyDescent="0.25">
      <c r="A9" s="1" t="s">
        <v>63</v>
      </c>
      <c r="B9" s="1" t="s">
        <v>18</v>
      </c>
      <c r="C9" s="1" t="s">
        <v>19</v>
      </c>
      <c r="D9" s="1" t="s">
        <v>64</v>
      </c>
      <c r="E9" s="1" t="s">
        <v>65</v>
      </c>
      <c r="F9" s="1">
        <v>35</v>
      </c>
      <c r="G9" s="1" t="s">
        <v>66</v>
      </c>
      <c r="H9" s="1">
        <v>100</v>
      </c>
      <c r="I9" s="1" t="s">
        <v>57</v>
      </c>
      <c r="J9" s="1" t="s">
        <v>61</v>
      </c>
      <c r="K9" s="1" t="s">
        <v>25</v>
      </c>
      <c r="L9" s="1" t="s">
        <v>25</v>
      </c>
      <c r="M9" s="1">
        <v>30</v>
      </c>
      <c r="N9" s="1" t="s">
        <v>25</v>
      </c>
      <c r="O9" s="1" t="s">
        <v>26</v>
      </c>
      <c r="P9" s="1" t="s">
        <v>32</v>
      </c>
      <c r="Q9" s="4" t="s">
        <v>67</v>
      </c>
      <c r="R9" s="3">
        <f t="shared" si="0"/>
        <v>0.35</v>
      </c>
    </row>
    <row r="10" spans="1:18" x14ac:dyDescent="0.25">
      <c r="A10" s="1" t="s">
        <v>68</v>
      </c>
      <c r="B10" s="1" t="s">
        <v>18</v>
      </c>
      <c r="C10" s="1" t="s">
        <v>19</v>
      </c>
      <c r="D10" s="1" t="s">
        <v>64</v>
      </c>
      <c r="E10" s="1" t="s">
        <v>69</v>
      </c>
      <c r="F10" s="1">
        <v>25</v>
      </c>
      <c r="G10" s="1" t="s">
        <v>70</v>
      </c>
      <c r="H10" s="1">
        <v>60</v>
      </c>
      <c r="I10" s="1" t="s">
        <v>57</v>
      </c>
      <c r="J10" s="1" t="s">
        <v>61</v>
      </c>
      <c r="K10" s="1" t="s">
        <v>25</v>
      </c>
      <c r="L10" s="1" t="s">
        <v>25</v>
      </c>
      <c r="M10" s="1">
        <v>30</v>
      </c>
      <c r="N10" s="1" t="s">
        <v>25</v>
      </c>
      <c r="O10" s="1" t="s">
        <v>26</v>
      </c>
      <c r="P10" s="1" t="s">
        <v>32</v>
      </c>
      <c r="Q10" s="4" t="s">
        <v>71</v>
      </c>
      <c r="R10" s="3">
        <f t="shared" si="0"/>
        <v>0.41666666666666669</v>
      </c>
    </row>
    <row r="11" spans="1:18" x14ac:dyDescent="0.25">
      <c r="A11" s="1" t="s">
        <v>72</v>
      </c>
      <c r="B11" s="1" t="s">
        <v>18</v>
      </c>
      <c r="C11" s="1" t="s">
        <v>19</v>
      </c>
      <c r="D11" s="1" t="s">
        <v>64</v>
      </c>
      <c r="E11" s="1" t="s">
        <v>73</v>
      </c>
      <c r="F11" s="1">
        <v>10</v>
      </c>
      <c r="G11" s="1" t="s">
        <v>74</v>
      </c>
      <c r="H11" s="1">
        <v>20</v>
      </c>
      <c r="I11" s="1" t="s">
        <v>57</v>
      </c>
      <c r="J11" s="1" t="s">
        <v>61</v>
      </c>
      <c r="K11" s="1" t="s">
        <v>25</v>
      </c>
      <c r="L11" s="1" t="s">
        <v>25</v>
      </c>
      <c r="M11" s="1">
        <v>7</v>
      </c>
      <c r="N11" s="1" t="s">
        <v>25</v>
      </c>
      <c r="O11" s="1" t="s">
        <v>26</v>
      </c>
      <c r="P11" s="1" t="s">
        <v>32</v>
      </c>
      <c r="Q11" s="4" t="s">
        <v>75</v>
      </c>
      <c r="R11" s="3">
        <f t="shared" si="0"/>
        <v>0.5</v>
      </c>
    </row>
    <row r="12" spans="1:18" x14ac:dyDescent="0.25">
      <c r="A12" s="1" t="s">
        <v>76</v>
      </c>
      <c r="B12" s="1" t="s">
        <v>18</v>
      </c>
      <c r="C12" s="1" t="s">
        <v>19</v>
      </c>
      <c r="D12" s="1" t="s">
        <v>64</v>
      </c>
      <c r="E12" s="1" t="s">
        <v>77</v>
      </c>
      <c r="F12" s="1">
        <v>3</v>
      </c>
      <c r="G12" s="1" t="s">
        <v>77</v>
      </c>
      <c r="H12" s="1">
        <v>3</v>
      </c>
      <c r="I12" s="1" t="s">
        <v>57</v>
      </c>
      <c r="J12" s="1" t="s">
        <v>61</v>
      </c>
      <c r="K12" s="1" t="s">
        <v>25</v>
      </c>
      <c r="L12" s="1" t="s">
        <v>59</v>
      </c>
      <c r="M12" s="1">
        <v>1</v>
      </c>
      <c r="N12" s="1" t="s">
        <v>61</v>
      </c>
      <c r="O12" s="1" t="s">
        <v>26</v>
      </c>
      <c r="P12" s="1" t="s">
        <v>32</v>
      </c>
      <c r="Q12" s="4"/>
      <c r="R12" s="3">
        <f t="shared" si="0"/>
        <v>1</v>
      </c>
    </row>
    <row r="13" spans="1:18" x14ac:dyDescent="0.25">
      <c r="A13" s="1" t="s">
        <v>79</v>
      </c>
      <c r="B13" s="1" t="s">
        <v>80</v>
      </c>
      <c r="C13" s="1" t="s">
        <v>81</v>
      </c>
      <c r="D13" s="1" t="s">
        <v>20</v>
      </c>
      <c r="E13" s="1" t="s">
        <v>82</v>
      </c>
      <c r="F13" s="1">
        <v>45</v>
      </c>
      <c r="G13" s="1" t="s">
        <v>83</v>
      </c>
      <c r="H13" s="1">
        <v>200</v>
      </c>
      <c r="I13" s="1" t="s">
        <v>23</v>
      </c>
      <c r="J13" s="1" t="s">
        <v>36</v>
      </c>
      <c r="K13" s="1" t="s">
        <v>25</v>
      </c>
      <c r="L13" s="1" t="s">
        <v>25</v>
      </c>
      <c r="M13" s="1">
        <v>30</v>
      </c>
      <c r="N13" s="1" t="s">
        <v>25</v>
      </c>
      <c r="O13" s="1" t="s">
        <v>84</v>
      </c>
      <c r="P13" s="1" t="s">
        <v>32</v>
      </c>
      <c r="Q13" s="4" t="s">
        <v>85</v>
      </c>
      <c r="R13" s="3">
        <f t="shared" si="0"/>
        <v>0.22500000000000001</v>
      </c>
    </row>
    <row r="14" spans="1:18" x14ac:dyDescent="0.25">
      <c r="A14" s="1" t="s">
        <v>86</v>
      </c>
      <c r="B14" s="1" t="s">
        <v>80</v>
      </c>
      <c r="C14" s="1" t="s">
        <v>81</v>
      </c>
      <c r="D14" s="1" t="s">
        <v>20</v>
      </c>
      <c r="E14" s="1" t="s">
        <v>87</v>
      </c>
      <c r="F14" s="1">
        <v>69</v>
      </c>
      <c r="G14" s="1" t="s">
        <v>88</v>
      </c>
      <c r="H14" s="1">
        <v>125</v>
      </c>
      <c r="I14" s="1" t="s">
        <v>89</v>
      </c>
      <c r="J14" s="1" t="s">
        <v>90</v>
      </c>
      <c r="K14" s="1" t="s">
        <v>25</v>
      </c>
      <c r="L14" s="1" t="s">
        <v>25</v>
      </c>
      <c r="M14" s="1">
        <v>30</v>
      </c>
      <c r="N14" s="1" t="s">
        <v>25</v>
      </c>
      <c r="O14" s="1" t="s">
        <v>84</v>
      </c>
      <c r="P14" s="1" t="s">
        <v>32</v>
      </c>
      <c r="Q14" s="4" t="s">
        <v>91</v>
      </c>
      <c r="R14" s="3">
        <f t="shared" si="0"/>
        <v>0.55200000000000005</v>
      </c>
    </row>
    <row r="15" spans="1:18" x14ac:dyDescent="0.25">
      <c r="A15" s="1" t="s">
        <v>92</v>
      </c>
      <c r="B15" s="1" t="s">
        <v>80</v>
      </c>
      <c r="C15" s="1" t="s">
        <v>81</v>
      </c>
      <c r="D15" s="1" t="s">
        <v>93</v>
      </c>
      <c r="E15" s="1" t="s">
        <v>94</v>
      </c>
      <c r="F15" s="1">
        <v>120</v>
      </c>
      <c r="G15" s="1" t="s">
        <v>95</v>
      </c>
      <c r="H15" s="1">
        <v>300</v>
      </c>
      <c r="I15" s="1" t="s">
        <v>57</v>
      </c>
      <c r="J15" s="1" t="s">
        <v>58</v>
      </c>
      <c r="K15" s="1" t="s">
        <v>59</v>
      </c>
      <c r="L15" s="1" t="s">
        <v>59</v>
      </c>
      <c r="M15" s="1">
        <v>90</v>
      </c>
      <c r="N15" s="1" t="s">
        <v>25</v>
      </c>
      <c r="O15" s="1" t="s">
        <v>84</v>
      </c>
      <c r="P15" s="1" t="s">
        <v>96</v>
      </c>
      <c r="Q15" s="4" t="s">
        <v>97</v>
      </c>
      <c r="R15" s="3">
        <f t="shared" si="0"/>
        <v>0.4</v>
      </c>
    </row>
    <row r="16" spans="1:18" x14ac:dyDescent="0.25">
      <c r="A16" s="1" t="s">
        <v>98</v>
      </c>
      <c r="B16" s="1" t="s">
        <v>80</v>
      </c>
      <c r="C16" s="1" t="s">
        <v>81</v>
      </c>
      <c r="D16" s="1" t="s">
        <v>99</v>
      </c>
      <c r="E16" s="1" t="s">
        <v>100</v>
      </c>
      <c r="F16" s="1">
        <v>3</v>
      </c>
      <c r="G16" s="1" t="s">
        <v>77</v>
      </c>
      <c r="H16" s="1">
        <v>3</v>
      </c>
      <c r="I16" s="1" t="s">
        <v>57</v>
      </c>
      <c r="J16" s="1" t="s">
        <v>61</v>
      </c>
      <c r="K16" s="1" t="s">
        <v>59</v>
      </c>
      <c r="L16" s="1" t="s">
        <v>59</v>
      </c>
      <c r="M16" s="1">
        <v>1</v>
      </c>
      <c r="N16" s="1" t="s">
        <v>25</v>
      </c>
      <c r="O16" s="1" t="s">
        <v>84</v>
      </c>
      <c r="P16" s="1" t="s">
        <v>32</v>
      </c>
      <c r="Q16" s="4" t="s">
        <v>101</v>
      </c>
      <c r="R16" s="3">
        <f t="shared" si="0"/>
        <v>1</v>
      </c>
    </row>
    <row r="17" spans="1:18" x14ac:dyDescent="0.25">
      <c r="A17" s="1" t="s">
        <v>102</v>
      </c>
      <c r="B17" s="1" t="s">
        <v>80</v>
      </c>
      <c r="C17" s="1" t="s">
        <v>81</v>
      </c>
      <c r="D17" s="1" t="s">
        <v>20</v>
      </c>
      <c r="E17" s="1" t="s">
        <v>103</v>
      </c>
      <c r="F17" s="1">
        <v>15</v>
      </c>
      <c r="G17" s="1" t="s">
        <v>104</v>
      </c>
      <c r="H17" s="1" t="s">
        <v>105</v>
      </c>
      <c r="I17" s="1" t="s">
        <v>105</v>
      </c>
      <c r="J17" s="1" t="s">
        <v>47</v>
      </c>
      <c r="K17" s="1" t="s">
        <v>25</v>
      </c>
      <c r="L17" s="1" t="s">
        <v>25</v>
      </c>
      <c r="M17" s="1">
        <v>7</v>
      </c>
      <c r="N17" s="1" t="s">
        <v>25</v>
      </c>
      <c r="O17" s="1" t="s">
        <v>84</v>
      </c>
      <c r="P17" s="1" t="s">
        <v>32</v>
      </c>
      <c r="Q17" s="4" t="s">
        <v>106</v>
      </c>
      <c r="R17" s="3" t="e">
        <f>F17/H17</f>
        <v>#VALUE!</v>
      </c>
    </row>
    <row r="18" spans="1:18" x14ac:dyDescent="0.25">
      <c r="A18" s="1" t="s">
        <v>107</v>
      </c>
      <c r="B18" s="1" t="s">
        <v>80</v>
      </c>
      <c r="C18" s="1" t="s">
        <v>81</v>
      </c>
      <c r="D18" s="1" t="s">
        <v>20</v>
      </c>
      <c r="E18" s="1" t="s">
        <v>108</v>
      </c>
      <c r="F18" s="1">
        <v>49</v>
      </c>
      <c r="G18" s="1" t="s">
        <v>109</v>
      </c>
      <c r="H18" s="1">
        <v>85</v>
      </c>
      <c r="I18" s="1" t="s">
        <v>89</v>
      </c>
      <c r="J18" s="1" t="s">
        <v>90</v>
      </c>
      <c r="K18" s="1" t="s">
        <v>25</v>
      </c>
      <c r="L18" s="1" t="s">
        <v>25</v>
      </c>
      <c r="M18" s="1">
        <v>30</v>
      </c>
      <c r="N18" s="1" t="s">
        <v>25</v>
      </c>
      <c r="O18" s="1" t="s">
        <v>84</v>
      </c>
      <c r="P18" s="1" t="s">
        <v>32</v>
      </c>
      <c r="Q18" s="4" t="s">
        <v>110</v>
      </c>
      <c r="R18" s="3">
        <f t="shared" si="0"/>
        <v>0.57647058823529407</v>
      </c>
    </row>
    <row r="19" spans="1:18" x14ac:dyDescent="0.25">
      <c r="A19" s="1" t="s">
        <v>111</v>
      </c>
      <c r="B19" s="1" t="s">
        <v>80</v>
      </c>
      <c r="C19" s="1" t="s">
        <v>81</v>
      </c>
      <c r="D19" s="1" t="s">
        <v>20</v>
      </c>
      <c r="E19" s="1" t="s">
        <v>112</v>
      </c>
      <c r="F19" s="1">
        <v>40</v>
      </c>
      <c r="G19" s="1" t="s">
        <v>113</v>
      </c>
      <c r="H19" s="1">
        <v>10</v>
      </c>
      <c r="I19" s="1" t="s">
        <v>89</v>
      </c>
      <c r="J19" s="1" t="s">
        <v>114</v>
      </c>
      <c r="K19" s="1" t="s">
        <v>25</v>
      </c>
      <c r="L19" s="1" t="s">
        <v>25</v>
      </c>
      <c r="M19" s="1">
        <v>30</v>
      </c>
      <c r="N19" s="1" t="s">
        <v>25</v>
      </c>
      <c r="O19" s="1" t="s">
        <v>84</v>
      </c>
      <c r="P19" s="1" t="s">
        <v>32</v>
      </c>
      <c r="Q19" s="4" t="s">
        <v>115</v>
      </c>
      <c r="R19" s="3">
        <f t="shared" si="0"/>
        <v>4</v>
      </c>
    </row>
    <row r="20" spans="1:18" x14ac:dyDescent="0.25">
      <c r="A20" s="1" t="s">
        <v>116</v>
      </c>
      <c r="B20" s="1" t="s">
        <v>80</v>
      </c>
      <c r="C20" s="1" t="s">
        <v>81</v>
      </c>
      <c r="D20" s="1" t="s">
        <v>117</v>
      </c>
      <c r="E20" s="1" t="s">
        <v>118</v>
      </c>
      <c r="F20" s="1">
        <v>65</v>
      </c>
      <c r="G20" s="1" t="s">
        <v>119</v>
      </c>
      <c r="H20" s="1">
        <v>500</v>
      </c>
      <c r="I20" s="1" t="s">
        <v>57</v>
      </c>
      <c r="J20" s="1" t="s">
        <v>61</v>
      </c>
      <c r="K20" s="1" t="s">
        <v>25</v>
      </c>
      <c r="L20" s="1" t="s">
        <v>120</v>
      </c>
      <c r="M20" s="1">
        <v>28</v>
      </c>
      <c r="N20" s="1" t="s">
        <v>25</v>
      </c>
      <c r="O20" s="1" t="s">
        <v>84</v>
      </c>
      <c r="P20" s="1" t="s">
        <v>32</v>
      </c>
      <c r="Q20" s="4" t="s">
        <v>121</v>
      </c>
      <c r="R20" s="3">
        <f t="shared" si="0"/>
        <v>0.13</v>
      </c>
    </row>
    <row r="21" spans="1:18" x14ac:dyDescent="0.25">
      <c r="A21" s="1" t="s">
        <v>122</v>
      </c>
      <c r="B21" s="1" t="s">
        <v>80</v>
      </c>
      <c r="C21" s="1" t="s">
        <v>81</v>
      </c>
      <c r="D21" s="1" t="s">
        <v>54</v>
      </c>
      <c r="E21" s="1" t="s">
        <v>123</v>
      </c>
      <c r="F21" s="1">
        <v>8</v>
      </c>
      <c r="G21" s="1" t="s">
        <v>124</v>
      </c>
      <c r="H21" s="1">
        <v>2025</v>
      </c>
      <c r="I21" s="1" t="s">
        <v>57</v>
      </c>
      <c r="J21" s="1" t="s">
        <v>58</v>
      </c>
      <c r="K21" s="1" t="s">
        <v>59</v>
      </c>
      <c r="L21" s="1" t="s">
        <v>59</v>
      </c>
      <c r="M21" s="1">
        <v>4</v>
      </c>
      <c r="N21" s="1" t="s">
        <v>26</v>
      </c>
      <c r="O21" s="1" t="s">
        <v>125</v>
      </c>
      <c r="P21" s="1" t="s">
        <v>32</v>
      </c>
      <c r="Q21" s="4" t="s">
        <v>126</v>
      </c>
      <c r="R21" s="3">
        <f t="shared" si="0"/>
        <v>3.9506172839506174E-3</v>
      </c>
    </row>
    <row r="22" spans="1:18" s="1" customFormat="1" x14ac:dyDescent="0.25">
      <c r="A22" s="1" t="s">
        <v>127</v>
      </c>
      <c r="B22" s="1" t="s">
        <v>128</v>
      </c>
      <c r="C22" s="1" t="s">
        <v>129</v>
      </c>
      <c r="D22" s="1" t="s">
        <v>130</v>
      </c>
      <c r="E22" s="1" t="s">
        <v>131</v>
      </c>
      <c r="F22" s="1">
        <v>35</v>
      </c>
      <c r="G22" s="1" t="s">
        <v>132</v>
      </c>
      <c r="H22" s="1">
        <v>1000</v>
      </c>
      <c r="I22" s="1" t="s">
        <v>57</v>
      </c>
      <c r="J22" s="1" t="s">
        <v>133</v>
      </c>
      <c r="K22" s="1" t="s">
        <v>25</v>
      </c>
      <c r="L22" s="1" t="s">
        <v>25</v>
      </c>
      <c r="M22" s="1">
        <v>30</v>
      </c>
      <c r="N22" s="1" t="s">
        <v>25</v>
      </c>
      <c r="P22" s="1" t="s">
        <v>32</v>
      </c>
      <c r="Q22" s="4" t="s">
        <v>134</v>
      </c>
      <c r="R22" s="3">
        <f t="shared" si="0"/>
        <v>3.5000000000000003E-2</v>
      </c>
    </row>
    <row r="23" spans="1:18" s="1" customFormat="1" x14ac:dyDescent="0.25">
      <c r="A23" s="1" t="s">
        <v>135</v>
      </c>
      <c r="B23" s="1" t="s">
        <v>128</v>
      </c>
      <c r="C23" s="1" t="s">
        <v>129</v>
      </c>
      <c r="D23" s="1" t="s">
        <v>130</v>
      </c>
      <c r="E23" s="1" t="s">
        <v>136</v>
      </c>
      <c r="F23" s="1">
        <v>25</v>
      </c>
      <c r="G23" s="1" t="s">
        <v>137</v>
      </c>
      <c r="H23" s="1">
        <v>100</v>
      </c>
      <c r="I23" s="1" t="s">
        <v>57</v>
      </c>
      <c r="J23" s="1" t="s">
        <v>133</v>
      </c>
      <c r="K23" s="1" t="s">
        <v>25</v>
      </c>
      <c r="L23" s="1" t="s">
        <v>25</v>
      </c>
      <c r="M23" s="1">
        <v>30</v>
      </c>
      <c r="N23" s="1" t="s">
        <v>25</v>
      </c>
      <c r="P23" s="1" t="s">
        <v>32</v>
      </c>
      <c r="Q23" s="4" t="s">
        <v>138</v>
      </c>
      <c r="R23" s="3">
        <f t="shared" si="0"/>
        <v>0.25</v>
      </c>
    </row>
    <row r="24" spans="1:18" s="1" customFormat="1" x14ac:dyDescent="0.25">
      <c r="A24" s="1" t="s">
        <v>139</v>
      </c>
      <c r="B24" s="1" t="s">
        <v>128</v>
      </c>
      <c r="C24" s="1" t="s">
        <v>129</v>
      </c>
      <c r="D24" s="1" t="s">
        <v>130</v>
      </c>
      <c r="E24" s="1" t="s">
        <v>140</v>
      </c>
      <c r="F24" s="1">
        <v>10</v>
      </c>
      <c r="G24" s="1" t="s">
        <v>141</v>
      </c>
      <c r="H24" s="1">
        <v>20</v>
      </c>
      <c r="I24" s="1" t="s">
        <v>57</v>
      </c>
      <c r="J24" s="1" t="s">
        <v>133</v>
      </c>
      <c r="K24" s="1" t="s">
        <v>25</v>
      </c>
      <c r="L24" s="1" t="s">
        <v>25</v>
      </c>
      <c r="M24" s="1">
        <v>7</v>
      </c>
      <c r="N24" s="1" t="s">
        <v>25</v>
      </c>
      <c r="P24" s="1" t="s">
        <v>32</v>
      </c>
      <c r="Q24" s="4" t="s">
        <v>142</v>
      </c>
      <c r="R24" s="3">
        <f t="shared" si="0"/>
        <v>0.5</v>
      </c>
    </row>
    <row r="25" spans="1:18" s="1" customFormat="1" x14ac:dyDescent="0.25">
      <c r="A25" s="1" t="s">
        <v>143</v>
      </c>
      <c r="B25" s="1" t="s">
        <v>128</v>
      </c>
      <c r="C25" s="1" t="s">
        <v>129</v>
      </c>
      <c r="D25" s="1" t="s">
        <v>130</v>
      </c>
      <c r="E25" s="1" t="s">
        <v>144</v>
      </c>
      <c r="F25" s="1">
        <v>50</v>
      </c>
      <c r="G25" s="1" t="s">
        <v>132</v>
      </c>
      <c r="H25" s="1">
        <v>1000</v>
      </c>
      <c r="I25" s="1" t="s">
        <v>57</v>
      </c>
      <c r="J25" s="1" t="s">
        <v>145</v>
      </c>
      <c r="K25" s="1" t="s">
        <v>25</v>
      </c>
      <c r="L25" s="1" t="s">
        <v>25</v>
      </c>
      <c r="M25" s="1">
        <v>30</v>
      </c>
      <c r="N25" s="1" t="s">
        <v>25</v>
      </c>
      <c r="P25" s="1" t="s">
        <v>32</v>
      </c>
      <c r="Q25" s="4" t="s">
        <v>146</v>
      </c>
      <c r="R25" s="3">
        <f t="shared" si="0"/>
        <v>0.05</v>
      </c>
    </row>
    <row r="26" spans="1:18" s="1" customFormat="1" x14ac:dyDescent="0.25">
      <c r="A26" s="1" t="s">
        <v>147</v>
      </c>
      <c r="B26" s="1" t="s">
        <v>128</v>
      </c>
      <c r="C26" s="1" t="s">
        <v>129</v>
      </c>
      <c r="D26" s="1" t="s">
        <v>148</v>
      </c>
      <c r="E26" s="1" t="s">
        <v>149</v>
      </c>
      <c r="F26" s="1">
        <v>180</v>
      </c>
      <c r="G26" s="1" t="s">
        <v>150</v>
      </c>
      <c r="H26" s="1">
        <v>120</v>
      </c>
      <c r="I26" s="1" t="s">
        <v>57</v>
      </c>
      <c r="J26" s="1" t="s">
        <v>151</v>
      </c>
      <c r="K26" s="1" t="s">
        <v>25</v>
      </c>
      <c r="L26" s="1" t="s">
        <v>25</v>
      </c>
      <c r="M26" s="1">
        <v>365</v>
      </c>
      <c r="N26" s="1" t="s">
        <v>25</v>
      </c>
      <c r="P26" s="1" t="s">
        <v>32</v>
      </c>
      <c r="Q26" s="4" t="s">
        <v>152</v>
      </c>
      <c r="R26" s="3">
        <f t="shared" si="0"/>
        <v>1.5</v>
      </c>
    </row>
    <row r="27" spans="1:18" s="1" customFormat="1" x14ac:dyDescent="0.25">
      <c r="A27" s="1" t="s">
        <v>153</v>
      </c>
      <c r="B27" s="1" t="s">
        <v>128</v>
      </c>
      <c r="C27" s="1" t="s">
        <v>129</v>
      </c>
      <c r="D27" s="1" t="s">
        <v>148</v>
      </c>
      <c r="E27" s="1" t="s">
        <v>154</v>
      </c>
      <c r="F27" s="1">
        <v>50</v>
      </c>
      <c r="G27" s="1" t="s">
        <v>155</v>
      </c>
      <c r="H27" s="1">
        <v>15</v>
      </c>
      <c r="I27" s="1" t="s">
        <v>57</v>
      </c>
      <c r="J27" s="1" t="s">
        <v>151</v>
      </c>
      <c r="K27" s="1" t="s">
        <v>25</v>
      </c>
      <c r="L27" s="1" t="s">
        <v>25</v>
      </c>
      <c r="M27" s="1">
        <v>90</v>
      </c>
      <c r="N27" s="1" t="s">
        <v>25</v>
      </c>
      <c r="P27" s="1" t="s">
        <v>32</v>
      </c>
      <c r="Q27" s="4" t="s">
        <v>156</v>
      </c>
      <c r="R27" s="3">
        <f t="shared" si="0"/>
        <v>3.3333333333333335</v>
      </c>
    </row>
    <row r="28" spans="1:18" x14ac:dyDescent="0.25">
      <c r="A28" s="1" t="s">
        <v>157</v>
      </c>
      <c r="B28" s="1" t="s">
        <v>25</v>
      </c>
      <c r="C28" s="1" t="s">
        <v>158</v>
      </c>
      <c r="D28" s="1" t="s">
        <v>159</v>
      </c>
      <c r="E28" s="1" t="s">
        <v>160</v>
      </c>
      <c r="F28" s="1">
        <v>10</v>
      </c>
      <c r="G28" s="1" t="s">
        <v>161</v>
      </c>
      <c r="H28" s="1">
        <v>20</v>
      </c>
      <c r="I28" s="1" t="s">
        <v>57</v>
      </c>
      <c r="J28" s="1" t="s">
        <v>162</v>
      </c>
      <c r="K28" s="1" t="s">
        <v>25</v>
      </c>
      <c r="L28" s="1" t="s">
        <v>25</v>
      </c>
      <c r="M28" s="1">
        <v>30</v>
      </c>
      <c r="N28" s="1" t="s">
        <v>25</v>
      </c>
      <c r="O28" s="1"/>
      <c r="P28" s="1" t="s">
        <v>32</v>
      </c>
      <c r="Q28" s="4" t="s">
        <v>163</v>
      </c>
      <c r="R28" s="3">
        <f t="shared" si="0"/>
        <v>0.5</v>
      </c>
    </row>
    <row r="29" spans="1:18" x14ac:dyDescent="0.25">
      <c r="A29" s="1" t="s">
        <v>164</v>
      </c>
      <c r="B29" s="1" t="s">
        <v>25</v>
      </c>
      <c r="C29" s="1" t="s">
        <v>158</v>
      </c>
      <c r="D29" s="1" t="s">
        <v>159</v>
      </c>
      <c r="E29" s="1" t="s">
        <v>165</v>
      </c>
      <c r="F29" s="1">
        <v>20</v>
      </c>
      <c r="G29" s="1" t="s">
        <v>166</v>
      </c>
      <c r="H29" s="1">
        <v>50</v>
      </c>
      <c r="I29" s="1" t="s">
        <v>57</v>
      </c>
      <c r="J29" s="1" t="s">
        <v>162</v>
      </c>
      <c r="K29" s="1" t="s">
        <v>25</v>
      </c>
      <c r="L29" s="1" t="s">
        <v>25</v>
      </c>
      <c r="M29" s="1">
        <v>30</v>
      </c>
      <c r="N29" s="1" t="s">
        <v>25</v>
      </c>
      <c r="O29" s="1"/>
      <c r="P29" s="1" t="s">
        <v>32</v>
      </c>
      <c r="Q29" s="4" t="s">
        <v>167</v>
      </c>
      <c r="R29" s="3">
        <f t="shared" si="0"/>
        <v>0.4</v>
      </c>
    </row>
    <row r="30" spans="1:18" x14ac:dyDescent="0.25">
      <c r="A30" s="1" t="s">
        <v>168</v>
      </c>
      <c r="B30" s="1" t="s">
        <v>25</v>
      </c>
      <c r="C30" s="1" t="s">
        <v>158</v>
      </c>
      <c r="D30" s="1" t="s">
        <v>159</v>
      </c>
      <c r="E30" s="1" t="s">
        <v>169</v>
      </c>
      <c r="F30" s="1">
        <v>30</v>
      </c>
      <c r="G30" s="1" t="s">
        <v>170</v>
      </c>
      <c r="H30" s="1" t="s">
        <v>105</v>
      </c>
      <c r="I30" s="1" t="s">
        <v>105</v>
      </c>
      <c r="J30" s="1" t="s">
        <v>171</v>
      </c>
      <c r="K30" s="1" t="s">
        <v>25</v>
      </c>
      <c r="L30" s="1" t="s">
        <v>25</v>
      </c>
      <c r="M30" s="1">
        <v>30</v>
      </c>
      <c r="N30" s="1" t="s">
        <v>25</v>
      </c>
      <c r="O30" s="1"/>
      <c r="P30" s="1" t="s">
        <v>32</v>
      </c>
      <c r="Q30" s="4" t="s">
        <v>172</v>
      </c>
      <c r="R30" s="3" t="e">
        <f t="shared" si="0"/>
        <v>#VALUE!</v>
      </c>
    </row>
    <row r="31" spans="1:18" x14ac:dyDescent="0.25">
      <c r="A31" s="1" t="s">
        <v>173</v>
      </c>
      <c r="B31" s="1" t="s">
        <v>174</v>
      </c>
      <c r="C31" s="1" t="s">
        <v>175</v>
      </c>
      <c r="D31" s="1" t="s">
        <v>159</v>
      </c>
      <c r="E31" s="1" t="s">
        <v>176</v>
      </c>
      <c r="F31" s="1">
        <v>28</v>
      </c>
      <c r="G31" s="1" t="s">
        <v>177</v>
      </c>
      <c r="H31" s="1">
        <v>50</v>
      </c>
      <c r="I31" s="1" t="s">
        <v>57</v>
      </c>
      <c r="J31" s="1" t="s">
        <v>178</v>
      </c>
      <c r="K31" s="1" t="s">
        <v>25</v>
      </c>
      <c r="L31" s="1" t="s">
        <v>25</v>
      </c>
      <c r="M31" s="1">
        <v>30</v>
      </c>
      <c r="N31" s="1" t="s">
        <v>25</v>
      </c>
      <c r="O31" s="1"/>
      <c r="P31" s="1" t="s">
        <v>32</v>
      </c>
      <c r="Q31" s="4" t="s">
        <v>179</v>
      </c>
      <c r="R31" s="3">
        <f t="shared" si="0"/>
        <v>0.56000000000000005</v>
      </c>
    </row>
    <row r="32" spans="1:18" x14ac:dyDescent="0.25">
      <c r="A32" s="1" t="s">
        <v>180</v>
      </c>
      <c r="B32" s="1" t="s">
        <v>174</v>
      </c>
      <c r="C32" s="1" t="s">
        <v>175</v>
      </c>
      <c r="D32" s="1" t="s">
        <v>159</v>
      </c>
      <c r="E32" s="1" t="s">
        <v>181</v>
      </c>
      <c r="F32" s="1">
        <v>50</v>
      </c>
      <c r="G32" s="1" t="s">
        <v>119</v>
      </c>
      <c r="H32" s="1">
        <v>500</v>
      </c>
      <c r="I32" s="1" t="s">
        <v>57</v>
      </c>
      <c r="J32" s="1" t="s">
        <v>178</v>
      </c>
      <c r="K32" s="1" t="s">
        <v>25</v>
      </c>
      <c r="L32" s="1" t="s">
        <v>25</v>
      </c>
      <c r="M32" s="1">
        <v>30</v>
      </c>
      <c r="N32" s="1" t="s">
        <v>25</v>
      </c>
      <c r="O32" s="1"/>
      <c r="P32" s="1" t="s">
        <v>32</v>
      </c>
      <c r="Q32" s="4" t="s">
        <v>182</v>
      </c>
      <c r="R32" s="3">
        <f t="shared" si="0"/>
        <v>0.1</v>
      </c>
    </row>
    <row r="33" spans="1:18" x14ac:dyDescent="0.25">
      <c r="A33" s="1" t="s">
        <v>183</v>
      </c>
      <c r="B33" s="1" t="s">
        <v>174</v>
      </c>
      <c r="C33" s="1" t="s">
        <v>175</v>
      </c>
      <c r="D33" s="1" t="s">
        <v>159</v>
      </c>
      <c r="E33" s="1" t="s">
        <v>184</v>
      </c>
      <c r="F33" s="1">
        <v>35</v>
      </c>
      <c r="G33" s="1" t="s">
        <v>185</v>
      </c>
      <c r="H33" s="1">
        <v>200</v>
      </c>
      <c r="I33" s="1" t="s">
        <v>57</v>
      </c>
      <c r="J33" s="1" t="s">
        <v>178</v>
      </c>
      <c r="K33" s="1" t="s">
        <v>25</v>
      </c>
      <c r="L33" s="1" t="s">
        <v>25</v>
      </c>
      <c r="M33" s="1">
        <v>30</v>
      </c>
      <c r="N33" s="1" t="s">
        <v>25</v>
      </c>
      <c r="O33" s="1"/>
      <c r="P33" s="1" t="s">
        <v>32</v>
      </c>
      <c r="Q33" s="4" t="s">
        <v>186</v>
      </c>
      <c r="R33" s="3">
        <f t="shared" si="0"/>
        <v>0.17499999999999999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abulaban</dc:creator>
  <cp:lastModifiedBy>YASER E H ABULABAN</cp:lastModifiedBy>
  <dcterms:created xsi:type="dcterms:W3CDTF">2015-06-05T18:17:20Z</dcterms:created>
  <dcterms:modified xsi:type="dcterms:W3CDTF">2026-05-11T07:17:16Z</dcterms:modified>
</cp:coreProperties>
</file>