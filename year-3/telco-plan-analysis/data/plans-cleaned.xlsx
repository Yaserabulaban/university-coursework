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7E618162-7731-4103-B7C3-DB4BADF8F4DA}" xr6:coauthVersionLast="47" xr6:coauthVersionMax="47" xr10:uidLastSave="{00000000-0000-0000-0000-000000000000}"/>
  <bookViews>
    <workbookView xWindow="20370" yWindow="-120" windowWidth="29040" windowHeight="15840" activeTab="1" xr2:uid="{00000000-000D-0000-FFFF-FFFF00000000}"/>
  </bookViews>
  <sheets>
    <sheet name="Sheet1" sheetId="1" r:id="rId1"/>
    <sheet name="Cleaned_Data" sheetId="2" r:id="rId2"/>
    <sheet name="Cleaning_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9" i="2" l="1"/>
  <c r="M28" i="2"/>
  <c r="N32" i="2"/>
  <c r="M32" i="2"/>
  <c r="N31" i="2"/>
  <c r="M31" i="2"/>
  <c r="N30" i="2"/>
  <c r="M30" i="2"/>
  <c r="N29" i="2"/>
  <c r="N28" i="2"/>
  <c r="N27" i="2"/>
  <c r="M27" i="2"/>
  <c r="N26" i="2"/>
  <c r="M26" i="2"/>
  <c r="N25" i="2"/>
  <c r="M25" i="2"/>
  <c r="N24" i="2"/>
  <c r="M24" i="2"/>
  <c r="N23" i="2"/>
  <c r="M23" i="2"/>
  <c r="N22" i="2"/>
  <c r="M22" i="2"/>
  <c r="N21" i="2"/>
  <c r="M21" i="2"/>
  <c r="N20" i="2"/>
  <c r="M20" i="2"/>
  <c r="N19" i="2"/>
  <c r="M19" i="2"/>
  <c r="N18" i="2"/>
  <c r="M18" i="2"/>
  <c r="N17" i="2"/>
  <c r="M17" i="2"/>
  <c r="N16" i="2"/>
  <c r="M16" i="2"/>
  <c r="N15" i="2"/>
  <c r="M15" i="2"/>
  <c r="N14" i="2"/>
  <c r="M14" i="2"/>
  <c r="N13" i="2"/>
  <c r="M13" i="2"/>
  <c r="N12" i="2"/>
  <c r="M12" i="2"/>
  <c r="N11" i="2"/>
  <c r="M11" i="2"/>
  <c r="N10" i="2"/>
  <c r="M10" i="2"/>
  <c r="N9" i="2"/>
  <c r="M9" i="2"/>
  <c r="N8" i="2"/>
  <c r="M8" i="2"/>
  <c r="N7" i="2"/>
  <c r="M7" i="2"/>
  <c r="N6" i="2"/>
  <c r="M6" i="2"/>
  <c r="N5" i="2"/>
  <c r="M5" i="2"/>
  <c r="N4" i="2"/>
  <c r="M4" i="2"/>
  <c r="N3" i="2"/>
  <c r="M3" i="2"/>
  <c r="N2" i="2"/>
  <c r="M2" i="2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<sst xmlns="http://schemas.openxmlformats.org/spreadsheetml/2006/main" count="792" uniqueCount="224">
  <si>
    <t>PlanID</t>
  </si>
  <si>
    <t>Provider</t>
  </si>
  <si>
    <t>Brand</t>
  </si>
  <si>
    <t>Plan Category</t>
  </si>
  <si>
    <t>Plan Name / Label</t>
  </si>
  <si>
    <t>Price_RM</t>
  </si>
  <si>
    <t>Advertised Data</t>
  </si>
  <si>
    <t>Total Data for Analysis_GB</t>
  </si>
  <si>
    <t>Data Type</t>
  </si>
  <si>
    <t>Speed Cap / Speed Label</t>
  </si>
  <si>
    <t>Hotspot Included</t>
  </si>
  <si>
    <t>Calls Included</t>
  </si>
  <si>
    <t>Validity_Days</t>
  </si>
  <si>
    <t>5G Included</t>
  </si>
  <si>
    <t>Night Uncapped 5G</t>
  </si>
  <si>
    <t>Roaming / Extra Benefits</t>
  </si>
  <si>
    <t>Notes</t>
  </si>
  <si>
    <t>RM per GB</t>
  </si>
  <si>
    <t>H001</t>
  </si>
  <si>
    <t>Maxis</t>
  </si>
  <si>
    <t>Hotlink</t>
  </si>
  <si>
    <t>Unlimited Pass</t>
  </si>
  <si>
    <t>Uncapped Speed 400GB</t>
  </si>
  <si>
    <t>Unlimited data uncapped speed (400GB)</t>
  </si>
  <si>
    <t>Unlimited with FUP</t>
  </si>
  <si>
    <t>Uncapped Speed</t>
  </si>
  <si>
    <t>Yes</t>
  </si>
  <si>
    <t>No</t>
  </si>
  <si>
    <t>Usable in Malaysia, Singapore, Indonesia and Thailand; Free Sooka Live Sports</t>
  </si>
  <si>
    <t>Free Sooka and Free Roaming labels shown</t>
  </si>
  <si>
    <t>H002</t>
  </si>
  <si>
    <t>Uncapped Speed 200GB</t>
  </si>
  <si>
    <t>Unlimited data uncapped speed (200GB)</t>
  </si>
  <si>
    <t>None shown</t>
  </si>
  <si>
    <t>H003</t>
  </si>
  <si>
    <t>48Mbps Best Value</t>
  </si>
  <si>
    <t>Unlimited data (200GB)</t>
  </si>
  <si>
    <t>48 Mbps</t>
  </si>
  <si>
    <t>Yes, 8pm-8am</t>
  </si>
  <si>
    <t>Best Value label shown</t>
  </si>
  <si>
    <t>H004</t>
  </si>
  <si>
    <t>12Mbps Most Affordable</t>
  </si>
  <si>
    <t>Unlimited data (40GB)</t>
  </si>
  <si>
    <t>12 Mbps</t>
  </si>
  <si>
    <t>Most Affordable label shown</t>
  </si>
  <si>
    <t>H005</t>
  </si>
  <si>
    <t>6Mbps 7 Days</t>
  </si>
  <si>
    <t>Unlimited data (20GB)</t>
  </si>
  <si>
    <t>6 Mbps</t>
  </si>
  <si>
    <t>7 Days label shown</t>
  </si>
  <si>
    <t>H006</t>
  </si>
  <si>
    <t>6Mbps 1 Day</t>
  </si>
  <si>
    <t>Unlimited data (6GB)</t>
  </si>
  <si>
    <t>1 Day label shown</t>
  </si>
  <si>
    <t>H007</t>
  </si>
  <si>
    <t>High Speed Pass</t>
  </si>
  <si>
    <t>7GB High Speed Add-on</t>
  </si>
  <si>
    <t>7GB high speed</t>
  </si>
  <si>
    <t>Fixed quota</t>
  </si>
  <si>
    <t>High Speed</t>
  </si>
  <si>
    <t>No / Not stated</t>
  </si>
  <si>
    <t>Depends on active 30-day pass</t>
  </si>
  <si>
    <t>Not stated</t>
  </si>
  <si>
    <t>Expiry follows active 30-day internet pass</t>
  </si>
  <si>
    <t>H008</t>
  </si>
  <si>
    <t>Other Pass</t>
  </si>
  <si>
    <t>100GB</t>
  </si>
  <si>
    <t>50GB 4G/5G + 50GB 5G</t>
  </si>
  <si>
    <t>Split data quota: 50GB 4G/5G and 50GB 5G</t>
  </si>
  <si>
    <t>H009</t>
  </si>
  <si>
    <t>60GB</t>
  </si>
  <si>
    <t>30GB 4G/5G + 30GB 5G</t>
  </si>
  <si>
    <t>Split data quota: 30GB 4G/5G and 30GB 5G</t>
  </si>
  <si>
    <t>H010</t>
  </si>
  <si>
    <t>20GB</t>
  </si>
  <si>
    <t>10GB 4G/5G + 10GB 5G</t>
  </si>
  <si>
    <t>Split data quota: 10GB 4G/5G and 10GB 5G</t>
  </si>
  <si>
    <t>H011</t>
  </si>
  <si>
    <t>3GB</t>
  </si>
  <si>
    <t>D001</t>
  </si>
  <si>
    <t>CelcomDigi</t>
  </si>
  <si>
    <t>Digi</t>
  </si>
  <si>
    <t>5G Power 45</t>
  </si>
  <si>
    <t>Unlimited @ 48Mbps, FUP 200GB</t>
  </si>
  <si>
    <t>LTE / 5G / 4G</t>
  </si>
  <si>
    <t>FUP stated as 200GB; hotspot quota shown as unlimited from FUP</t>
  </si>
  <si>
    <t>D002</t>
  </si>
  <si>
    <t>5G 69 Unlimited</t>
  </si>
  <si>
    <t>Unlimited 12Mbps + 125GB at 100Mbps</t>
  </si>
  <si>
    <t>Unlimited + high-speed quota</t>
  </si>
  <si>
    <t>12 Mbps unlimited + 100 Mbps quota</t>
  </si>
  <si>
    <t>Use 125GB as high-speed data for analysis</t>
  </si>
  <si>
    <t>D003</t>
  </si>
  <si>
    <t>Roaming / Border Pass</t>
  </si>
  <si>
    <t>90-Day MY-SG Border Pass</t>
  </si>
  <si>
    <t>300GB high-speed internet</t>
  </si>
  <si>
    <t>Malaysia 100GB + Singapore 200GB; use M1 in Singapore</t>
  </si>
  <si>
    <t>Cross-border Malaysia-Singapore pass</t>
  </si>
  <si>
    <t>D004</t>
  </si>
  <si>
    <t>Internet Pass</t>
  </si>
  <si>
    <t>3GB Internet</t>
  </si>
  <si>
    <t>Basic 1-day internet pass</t>
  </si>
  <si>
    <t>D005</t>
  </si>
  <si>
    <t>Unlimited Internet 6Mbps</t>
  </si>
  <si>
    <t>Unlimited internet 6Mbps</t>
  </si>
  <si>
    <t>Unlimited</t>
  </si>
  <si>
    <t>Unlimited local calls included</t>
  </si>
  <si>
    <t>D006</t>
  </si>
  <si>
    <t>5G 49 Unlimited</t>
  </si>
  <si>
    <t>Unlimited 12Mbps + 85GB at 100Mbps</t>
  </si>
  <si>
    <t>Use 85GB as high-speed data for analysis</t>
  </si>
  <si>
    <t>D007</t>
  </si>
  <si>
    <t>Unlimited 40</t>
  </si>
  <si>
    <t>Unlimited 12Mbps + 10GB high speed</t>
  </si>
  <si>
    <t>12 Mbps unlimited + high-speed quota</t>
  </si>
  <si>
    <t>Use 10GB as high-speed data for analysis</t>
  </si>
  <si>
    <t>D008</t>
  </si>
  <si>
    <t>DataSIM Pass</t>
  </si>
  <si>
    <t>5G DataSIM 65 500GB</t>
  </si>
  <si>
    <t>500GB</t>
  </si>
  <si>
    <t>No / Data only</t>
  </si>
  <si>
    <t>DataSIM plan; hotspot shared with main quota</t>
  </si>
  <si>
    <t>D009</t>
  </si>
  <si>
    <t>High Speed 2025GB</t>
  </si>
  <si>
    <t>2025GB high speed</t>
  </si>
  <si>
    <t>LTE / 4G</t>
  </si>
  <si>
    <t>5G icon not shown; LTE and 4G only</t>
  </si>
  <si>
    <t>U001</t>
  </si>
  <si>
    <t>U Mobile</t>
  </si>
  <si>
    <t>UNI5G</t>
  </si>
  <si>
    <t>UNI5G WOW PADU</t>
  </si>
  <si>
    <t>UNI5G WOW PADU 35</t>
  </si>
  <si>
    <t>1000GB Data</t>
  </si>
  <si>
    <t>5G: Best Effort; 4G: 5Mbps</t>
  </si>
  <si>
    <t>Best Seller; 800GB 5G + 200GB 4G/5G; 10GB Hotspot; Online exclusive offer: Free 50GB 5G Hotspot</t>
  </si>
  <si>
    <t>U002</t>
  </si>
  <si>
    <t>UNI5G WOW PADU 25</t>
  </si>
  <si>
    <t>100GB Data</t>
  </si>
  <si>
    <t>Popular Choice; 70GB 5G + 30GB 5G/4G; hotspot shared quota</t>
  </si>
  <si>
    <t>U003</t>
  </si>
  <si>
    <t>UNI5G WOW PADU 10</t>
  </si>
  <si>
    <t>20GB Data</t>
  </si>
  <si>
    <t>20GB 4G/5G; hotspot shared quota</t>
  </si>
  <si>
    <t>U004</t>
  </si>
  <si>
    <t>UNI5G WOW PADU 50</t>
  </si>
  <si>
    <t>5G: Best Effort; 4G: 7Mbps</t>
  </si>
  <si>
    <t>10GB 4G/5G + 990GB 5G; 100GB for Mobile Legend &amp; PUBG; hotspot shared quota</t>
  </si>
  <si>
    <t>U005</t>
  </si>
  <si>
    <t>UNI5G WOW Long Validity</t>
  </si>
  <si>
    <t>UNI5G WOW 12 Months</t>
  </si>
  <si>
    <t>120GB Data</t>
  </si>
  <si>
    <t>Uncapped 5G Speed, All-Day Long</t>
  </si>
  <si>
    <t>100GB 5G + 20GB 5G/4G; hotspot shared quota</t>
  </si>
  <si>
    <t>U006</t>
  </si>
  <si>
    <t>UNI5G WOW 3 Months</t>
  </si>
  <si>
    <t>15GB Data</t>
  </si>
  <si>
    <t>12GB 5G + 3GB 5G/4G; hotspot shared quota</t>
  </si>
  <si>
    <t>Y001</t>
  </si>
  <si>
    <t>Yes 5G Advanced</t>
  </si>
  <si>
    <t>Prepaid Plan</t>
  </si>
  <si>
    <t>5G Advanced Starter Pack</t>
  </si>
  <si>
    <t>20GB data with uncapped speed</t>
  </si>
  <si>
    <t>Uncapped speed</t>
  </si>
  <si>
    <t>New; 5G Advanced &amp; 4G; shared hotspot; unlimited on-net SMS</t>
  </si>
  <si>
    <t>Y002</t>
  </si>
  <si>
    <t>5G Advanced Prepaid 20</t>
  </si>
  <si>
    <t>50GB data with uncapped speed</t>
  </si>
  <si>
    <t>Data rollover; 5G Advanced &amp; 4G; shared hotspot; unlimited on-net SMS</t>
  </si>
  <si>
    <t>Y003</t>
  </si>
  <si>
    <t>5G Advanced Prepaid 30</t>
  </si>
  <si>
    <t>Uncapped 5G Advanced data and speed + uncapped 4G up to 7Mbps</t>
  </si>
  <si>
    <t>5G Advanced: uncapped speed; 4G: up to 7Mbps</t>
  </si>
  <si>
    <t>RM5 off with AutoPay; 12GB hotspot; unlimited on-net SMS</t>
  </si>
  <si>
    <t>TT001</t>
  </si>
  <si>
    <t>Tune Talk</t>
  </si>
  <si>
    <t>Epik+</t>
  </si>
  <si>
    <t>Epik+ 28</t>
  </si>
  <si>
    <t>50GB</t>
  </si>
  <si>
    <t>Uncapped speed up to 900Mbps; No FUP</t>
  </si>
  <si>
    <t>All-day Ultra Fast 5G; unlimited calls to all networks; hotspot-enabled; monthly price shown</t>
  </si>
  <si>
    <t>TT002</t>
  </si>
  <si>
    <t>Epik+ 50</t>
  </si>
  <si>
    <t>For heavy users; RM2303 yearly value; pay RM50, get RM142/month valueback; monthly price shown</t>
  </si>
  <si>
    <t>TT003</t>
  </si>
  <si>
    <t>Epik+ 35</t>
  </si>
  <si>
    <t>200GB</t>
  </si>
  <si>
    <t>RM1260 yearly value; pay RM35, get RM70/month valueback; monthly price shown</t>
  </si>
  <si>
    <t>Plan_Name</t>
  </si>
  <si>
    <t>Data_GB</t>
  </si>
  <si>
    <t>Data_Type</t>
  </si>
  <si>
    <t>Speed_Label</t>
  </si>
  <si>
    <t>Hotspot_Included</t>
  </si>
  <si>
    <t>Calls_Included</t>
  </si>
  <si>
    <t>5G_Included</t>
  </si>
  <si>
    <t>RM_per_GB</t>
  </si>
  <si>
    <t>Price_per_Day</t>
  </si>
  <si>
    <t>Action</t>
  </si>
  <si>
    <t>Column / Issue</t>
  </si>
  <si>
    <t>Decision</t>
  </si>
  <si>
    <t>Reason for Report / Viva</t>
  </si>
  <si>
    <t>Removed column</t>
  </si>
  <si>
    <t>Removed from cleaned dataset</t>
  </si>
  <si>
    <t>Provider already identifies the telco for comparison; Brand was mostly a sub-brand and did not add a separate analytical variable for the dashboard.</t>
  </si>
  <si>
    <t>It is raw descriptive text. The cleaned numeric field Data_GB is better for charts, sorting and RM/GB calculations. Raw text is still preserved in Sheet1.</t>
  </si>
  <si>
    <t>The field is not consistently available across providers, so using it as a main dashboard dimension could create unfair comparison. Details remain in raw data.</t>
  </si>
  <si>
    <t>Mostly blank or 'None shown'. It is useful as raw evidence but not a consistent analytical field across all providers.</t>
  </si>
  <si>
    <t>Free-text notes are useful for audit trail, but they are too unstructured for Power BI visuals. They remain in the raw sheet for reference.</t>
  </si>
  <si>
    <t>Standardised field</t>
  </si>
  <si>
    <t>Renamed and cleaned to Data_GB</t>
  </si>
  <si>
    <t>Converted numeric quota values into a clean numeric field for charts and calculations.</t>
  </si>
  <si>
    <t>Handled special case</t>
  </si>
  <si>
    <t>Unlimited data with no declared FUP</t>
  </si>
  <si>
    <t>Data_GB left blank; RM_per_GB left blank</t>
  </si>
  <si>
    <t>Avoids pretending unlimited equals a fixed quota. This protects graphical integrity and prevents misleading RM/GB comparisons.</t>
  </si>
  <si>
    <t>Validity that depends on another pass</t>
  </si>
  <si>
    <t>Validity_Days left blank</t>
  </si>
  <si>
    <t>Avoids creating a false 30-day value for add-on passes where the expiry depends on the active base plan.</t>
  </si>
  <si>
    <t>Created derived metric</t>
  </si>
  <si>
    <t>Added as formula: Price_RM / Data_GB</t>
  </si>
  <si>
    <t>Required for meaningful value comparison between plans.</t>
  </si>
  <si>
    <t>Added as formula: Price_RM / Validity_Days</t>
  </si>
  <si>
    <t>Useful because the dataset includes 1-day, 7-day, 28-day, 30-day, 90-day and 365-day plans.</t>
  </si>
  <si>
    <t>H09</t>
  </si>
  <si>
    <t>Plan_Type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</si>
</sst>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sz val="11"/>
      <color theme="0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18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eanedTelcoPlans" displayName="CleanedTelcoPlans" ref="A1:N32" dataDxfId="3">
  <tableColumns count="14">
    <tableColumn id="1" xr3:uid="{00000000-0010-0000-0000-000001000000}" name="PlanID" dataDxfId="17"/>
    <tableColumn id="2" xr3:uid="{00000000-0010-0000-0000-000002000000}" name="Provider" dataDxfId="16"/>
    <tableColumn id="3" xr3:uid="{00000000-0010-0000-0000-000003000000}" name="Plan_Type" dataDxfId="15"/>
    <tableColumn id="4" xr3:uid="{00000000-0010-0000-0000-000004000000}" name="Plan_Name" dataDxfId="14"/>
    <tableColumn id="5" xr3:uid="{00000000-0010-0000-0000-000005000000}" name="Price_RM" dataDxfId="13"/>
    <tableColumn id="6" xr3:uid="{00000000-0010-0000-0000-000006000000}" name="Data_GB" dataDxfId="12"/>
    <tableColumn id="7" xr3:uid="{00000000-0010-0000-0000-000007000000}" name="Data_Type" dataDxfId="11"/>
    <tableColumn id="8" xr3:uid="{00000000-0010-0000-0000-000008000000}" name="Speed_Label" dataDxfId="10"/>
    <tableColumn id="9" xr3:uid="{00000000-0010-0000-0000-000009000000}" name="Hotspot_Included" dataDxfId="9"/>
    <tableColumn id="10" xr3:uid="{00000000-0010-0000-0000-00000A000000}" name="Calls_Included" dataDxfId="8"/>
    <tableColumn id="11" xr3:uid="{00000000-0010-0000-0000-00000B000000}" name="Validity_Days" dataDxfId="7"/>
    <tableColumn id="12" xr3:uid="{00000000-0010-0000-0000-00000C000000}" name="5G_Included" dataDxfId="6"/>
    <tableColumn id="13" xr3:uid="{00000000-0010-0000-0000-00000D000000}" name="RM_per_GB" dataDxfId="5"/>
    <tableColumn id="14" xr3:uid="{00000000-0010-0000-0000-00000E000000}" name="Price_per_Day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leaningLog" displayName="CleaningLog" ref="A1:D11">
  <tableColumns count="4">
    <tableColumn id="1" xr3:uid="{00000000-0010-0000-0100-000001000000}" name="Action" dataDxfId="2"/>
    <tableColumn id="2" xr3:uid="{00000000-0010-0000-0100-000002000000}" name="Column / Issue" dataDxfId="1"/>
    <tableColumn id="3" xr3:uid="{00000000-0010-0000-0100-000003000000}" name="Decision" dataDxfId="0"/>
    <tableColumn id="4" xr3:uid="{00000000-0010-0000-0100-000004000000}" name="Reason for Report / Viv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"/>
  <sheetViews>
    <sheetView workbookViewId="0"/>
  </sheetViews>
  <sheetFormatPr defaultRowHeight="15" x14ac:dyDescent="0.25"/>
  <cols>
    <col min="1" max="1" width="6.7109375" customWidth="1"/>
    <col min="2" max="2" width="11" customWidth="1"/>
    <col min="3" max="3" width="16" customWidth="1"/>
    <col min="4" max="4" width="24.42578125" customWidth="1"/>
    <col min="5" max="5" width="24.28515625" customWidth="1"/>
    <col min="6" max="6" width="9.28515625" customWidth="1"/>
    <col min="7" max="7" width="61.85546875" customWidth="1"/>
    <col min="8" max="8" width="24.42578125" customWidth="1"/>
    <col min="9" max="9" width="27.85546875" customWidth="1"/>
    <col min="10" max="10" width="44.28515625" customWidth="1"/>
    <col min="11" max="11" width="16.28515625" customWidth="1"/>
    <col min="12" max="12" width="14.7109375" customWidth="1"/>
    <col min="13" max="13" width="28.42578125" customWidth="1"/>
    <col min="14" max="14" width="11.42578125" customWidth="1"/>
    <col min="15" max="15" width="18.140625" customWidth="1"/>
    <col min="16" max="16" width="71.42578125" customWidth="1"/>
    <col min="17" max="17" width="91.5703125" customWidth="1"/>
    <col min="18" max="18" width="10.140625" customWidth="1"/>
  </cols>
  <sheetData>
    <row r="1" spans="1:1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>
        <v>55</v>
      </c>
      <c r="G2" s="1" t="s">
        <v>23</v>
      </c>
      <c r="H2" s="1">
        <v>400</v>
      </c>
      <c r="I2" s="1" t="s">
        <v>24</v>
      </c>
      <c r="J2" s="1" t="s">
        <v>25</v>
      </c>
      <c r="K2" s="1" t="s">
        <v>26</v>
      </c>
      <c r="L2" s="1" t="s">
        <v>26</v>
      </c>
      <c r="M2" s="1">
        <v>30</v>
      </c>
      <c r="N2" s="1" t="s">
        <v>26</v>
      </c>
      <c r="O2" s="1" t="s">
        <v>27</v>
      </c>
      <c r="P2" s="1" t="s">
        <v>28</v>
      </c>
      <c r="Q2" s="4" t="s">
        <v>29</v>
      </c>
      <c r="R2" s="3">
        <f>F2/H2</f>
        <v>0.13750000000000001</v>
      </c>
    </row>
    <row r="3" spans="1:18" x14ac:dyDescent="0.25">
      <c r="A3" s="1" t="s">
        <v>30</v>
      </c>
      <c r="B3" s="1" t="s">
        <v>19</v>
      </c>
      <c r="C3" s="1" t="s">
        <v>20</v>
      </c>
      <c r="D3" s="1" t="s">
        <v>21</v>
      </c>
      <c r="E3" s="1" t="s">
        <v>31</v>
      </c>
      <c r="F3" s="1">
        <v>50</v>
      </c>
      <c r="G3" s="1" t="s">
        <v>32</v>
      </c>
      <c r="H3" s="1">
        <v>200</v>
      </c>
      <c r="I3" s="1" t="s">
        <v>24</v>
      </c>
      <c r="J3" s="1" t="s">
        <v>25</v>
      </c>
      <c r="K3" s="1" t="s">
        <v>26</v>
      </c>
      <c r="L3" s="1" t="s">
        <v>26</v>
      </c>
      <c r="M3" s="1">
        <v>30</v>
      </c>
      <c r="N3" s="1" t="s">
        <v>26</v>
      </c>
      <c r="O3" s="1" t="s">
        <v>27</v>
      </c>
      <c r="P3" s="1" t="s">
        <v>33</v>
      </c>
      <c r="Q3" s="4"/>
      <c r="R3" s="3">
        <f t="shared" ref="R3:R33" si="0">F3/H3</f>
        <v>0.25</v>
      </c>
    </row>
    <row r="4" spans="1:18" x14ac:dyDescent="0.25">
      <c r="A4" s="1" t="s">
        <v>34</v>
      </c>
      <c r="B4" s="1" t="s">
        <v>19</v>
      </c>
      <c r="C4" s="1" t="s">
        <v>20</v>
      </c>
      <c r="D4" s="1" t="s">
        <v>21</v>
      </c>
      <c r="E4" s="1" t="s">
        <v>35</v>
      </c>
      <c r="F4" s="1">
        <v>40</v>
      </c>
      <c r="G4" s="1" t="s">
        <v>36</v>
      </c>
      <c r="H4" s="1">
        <v>200</v>
      </c>
      <c r="I4" s="1" t="s">
        <v>24</v>
      </c>
      <c r="J4" s="1" t="s">
        <v>37</v>
      </c>
      <c r="K4" s="1" t="s">
        <v>26</v>
      </c>
      <c r="L4" s="1" t="s">
        <v>26</v>
      </c>
      <c r="M4" s="1">
        <v>30</v>
      </c>
      <c r="N4" s="1" t="s">
        <v>26</v>
      </c>
      <c r="O4" s="1" t="s">
        <v>38</v>
      </c>
      <c r="P4" s="1" t="s">
        <v>33</v>
      </c>
      <c r="Q4" s="4" t="s">
        <v>39</v>
      </c>
      <c r="R4" s="3">
        <f t="shared" si="0"/>
        <v>0.2</v>
      </c>
    </row>
    <row r="5" spans="1:18" x14ac:dyDescent="0.25">
      <c r="A5" s="1" t="s">
        <v>40</v>
      </c>
      <c r="B5" s="1" t="s">
        <v>19</v>
      </c>
      <c r="C5" s="1" t="s">
        <v>20</v>
      </c>
      <c r="D5" s="1" t="s">
        <v>21</v>
      </c>
      <c r="E5" s="1" t="s">
        <v>41</v>
      </c>
      <c r="F5" s="1">
        <v>25</v>
      </c>
      <c r="G5" s="1" t="s">
        <v>42</v>
      </c>
      <c r="H5" s="1">
        <v>40</v>
      </c>
      <c r="I5" s="1" t="s">
        <v>24</v>
      </c>
      <c r="J5" s="1" t="s">
        <v>43</v>
      </c>
      <c r="K5" s="1" t="s">
        <v>26</v>
      </c>
      <c r="L5" s="1" t="s">
        <v>26</v>
      </c>
      <c r="M5" s="1">
        <v>30</v>
      </c>
      <c r="N5" s="1" t="s">
        <v>26</v>
      </c>
      <c r="O5" s="1" t="s">
        <v>38</v>
      </c>
      <c r="P5" s="1" t="s">
        <v>33</v>
      </c>
      <c r="Q5" s="4" t="s">
        <v>44</v>
      </c>
      <c r="R5" s="3">
        <f t="shared" si="0"/>
        <v>0.625</v>
      </c>
    </row>
    <row r="6" spans="1:18" x14ac:dyDescent="0.25">
      <c r="A6" s="1" t="s">
        <v>45</v>
      </c>
      <c r="B6" s="1" t="s">
        <v>19</v>
      </c>
      <c r="C6" s="1" t="s">
        <v>20</v>
      </c>
      <c r="D6" s="1" t="s">
        <v>21</v>
      </c>
      <c r="E6" s="1" t="s">
        <v>46</v>
      </c>
      <c r="F6" s="1">
        <v>12</v>
      </c>
      <c r="G6" s="1" t="s">
        <v>47</v>
      </c>
      <c r="H6" s="1">
        <v>20</v>
      </c>
      <c r="I6" s="1" t="s">
        <v>24</v>
      </c>
      <c r="J6" s="1" t="s">
        <v>48</v>
      </c>
      <c r="K6" s="1" t="s">
        <v>26</v>
      </c>
      <c r="L6" s="1" t="s">
        <v>26</v>
      </c>
      <c r="M6" s="1">
        <v>7</v>
      </c>
      <c r="N6" s="1" t="s">
        <v>26</v>
      </c>
      <c r="O6" s="1" t="s">
        <v>38</v>
      </c>
      <c r="P6" s="1" t="s">
        <v>33</v>
      </c>
      <c r="Q6" s="4" t="s">
        <v>49</v>
      </c>
      <c r="R6" s="3">
        <f t="shared" si="0"/>
        <v>0.6</v>
      </c>
    </row>
    <row r="7" spans="1:18" x14ac:dyDescent="0.25">
      <c r="A7" s="1" t="s">
        <v>50</v>
      </c>
      <c r="B7" s="1" t="s">
        <v>19</v>
      </c>
      <c r="C7" s="1" t="s">
        <v>20</v>
      </c>
      <c r="D7" s="1" t="s">
        <v>21</v>
      </c>
      <c r="E7" s="1" t="s">
        <v>51</v>
      </c>
      <c r="F7" s="1">
        <v>4</v>
      </c>
      <c r="G7" s="1" t="s">
        <v>52</v>
      </c>
      <c r="H7" s="1">
        <v>6</v>
      </c>
      <c r="I7" s="1" t="s">
        <v>24</v>
      </c>
      <c r="J7" s="1" t="s">
        <v>48</v>
      </c>
      <c r="K7" s="1" t="s">
        <v>26</v>
      </c>
      <c r="L7" s="1" t="s">
        <v>26</v>
      </c>
      <c r="M7" s="1">
        <v>1</v>
      </c>
      <c r="N7" s="1" t="s">
        <v>26</v>
      </c>
      <c r="O7" s="1" t="s">
        <v>38</v>
      </c>
      <c r="P7" s="1" t="s">
        <v>33</v>
      </c>
      <c r="Q7" s="4" t="s">
        <v>53</v>
      </c>
      <c r="R7" s="3">
        <f t="shared" si="0"/>
        <v>0.66666666666666663</v>
      </c>
    </row>
    <row r="8" spans="1:18" x14ac:dyDescent="0.25">
      <c r="A8" s="1" t="s">
        <v>54</v>
      </c>
      <c r="B8" s="1" t="s">
        <v>19</v>
      </c>
      <c r="C8" s="1" t="s">
        <v>20</v>
      </c>
      <c r="D8" s="1" t="s">
        <v>55</v>
      </c>
      <c r="E8" s="1" t="s">
        <v>56</v>
      </c>
      <c r="F8" s="1">
        <v>5</v>
      </c>
      <c r="G8" s="1" t="s">
        <v>57</v>
      </c>
      <c r="H8" s="1">
        <v>7</v>
      </c>
      <c r="I8" s="1" t="s">
        <v>58</v>
      </c>
      <c r="J8" s="1" t="s">
        <v>59</v>
      </c>
      <c r="K8" s="1" t="s">
        <v>26</v>
      </c>
      <c r="L8" s="1" t="s">
        <v>60</v>
      </c>
      <c r="M8" s="1" t="s">
        <v>61</v>
      </c>
      <c r="N8" s="1" t="s">
        <v>62</v>
      </c>
      <c r="O8" s="1" t="s">
        <v>27</v>
      </c>
      <c r="P8" s="1" t="s">
        <v>33</v>
      </c>
      <c r="Q8" s="4" t="s">
        <v>63</v>
      </c>
      <c r="R8" s="3">
        <f t="shared" si="0"/>
        <v>0.7142857142857143</v>
      </c>
    </row>
    <row r="9" spans="1:18" x14ac:dyDescent="0.25">
      <c r="A9" s="1" t="s">
        <v>64</v>
      </c>
      <c r="B9" s="1" t="s">
        <v>19</v>
      </c>
      <c r="C9" s="1" t="s">
        <v>20</v>
      </c>
      <c r="D9" s="1" t="s">
        <v>65</v>
      </c>
      <c r="E9" s="1" t="s">
        <v>66</v>
      </c>
      <c r="F9" s="1">
        <v>35</v>
      </c>
      <c r="G9" s="1" t="s">
        <v>67</v>
      </c>
      <c r="H9" s="1">
        <v>100</v>
      </c>
      <c r="I9" s="1" t="s">
        <v>58</v>
      </c>
      <c r="J9" s="1" t="s">
        <v>62</v>
      </c>
      <c r="K9" s="1" t="s">
        <v>26</v>
      </c>
      <c r="L9" s="1" t="s">
        <v>26</v>
      </c>
      <c r="M9" s="1">
        <v>30</v>
      </c>
      <c r="N9" s="1" t="s">
        <v>26</v>
      </c>
      <c r="O9" s="1" t="s">
        <v>27</v>
      </c>
      <c r="P9" s="1" t="s">
        <v>33</v>
      </c>
      <c r="Q9" s="4" t="s">
        <v>68</v>
      </c>
      <c r="R9" s="3">
        <f t="shared" si="0"/>
        <v>0.35</v>
      </c>
    </row>
    <row r="10" spans="1:18" x14ac:dyDescent="0.25">
      <c r="A10" s="1" t="s">
        <v>69</v>
      </c>
      <c r="B10" s="1" t="s">
        <v>19</v>
      </c>
      <c r="C10" s="1" t="s">
        <v>20</v>
      </c>
      <c r="D10" s="1" t="s">
        <v>65</v>
      </c>
      <c r="E10" s="1" t="s">
        <v>70</v>
      </c>
      <c r="F10" s="1">
        <v>25</v>
      </c>
      <c r="G10" s="1" t="s">
        <v>71</v>
      </c>
      <c r="H10" s="1">
        <v>60</v>
      </c>
      <c r="I10" s="1" t="s">
        <v>58</v>
      </c>
      <c r="J10" s="1" t="s">
        <v>62</v>
      </c>
      <c r="K10" s="1" t="s">
        <v>26</v>
      </c>
      <c r="L10" s="1" t="s">
        <v>26</v>
      </c>
      <c r="M10" s="1">
        <v>30</v>
      </c>
      <c r="N10" s="1" t="s">
        <v>26</v>
      </c>
      <c r="O10" s="1" t="s">
        <v>27</v>
      </c>
      <c r="P10" s="1" t="s">
        <v>33</v>
      </c>
      <c r="Q10" s="4" t="s">
        <v>72</v>
      </c>
      <c r="R10" s="3">
        <f t="shared" si="0"/>
        <v>0.41666666666666669</v>
      </c>
    </row>
    <row r="11" spans="1:18" x14ac:dyDescent="0.25">
      <c r="A11" s="1" t="s">
        <v>73</v>
      </c>
      <c r="B11" s="1" t="s">
        <v>19</v>
      </c>
      <c r="C11" s="1" t="s">
        <v>20</v>
      </c>
      <c r="D11" s="1" t="s">
        <v>65</v>
      </c>
      <c r="E11" s="1" t="s">
        <v>74</v>
      </c>
      <c r="F11" s="1">
        <v>10</v>
      </c>
      <c r="G11" s="1" t="s">
        <v>75</v>
      </c>
      <c r="H11" s="1">
        <v>20</v>
      </c>
      <c r="I11" s="1" t="s">
        <v>58</v>
      </c>
      <c r="J11" s="1" t="s">
        <v>62</v>
      </c>
      <c r="K11" s="1" t="s">
        <v>26</v>
      </c>
      <c r="L11" s="1" t="s">
        <v>26</v>
      </c>
      <c r="M11" s="1">
        <v>7</v>
      </c>
      <c r="N11" s="1" t="s">
        <v>26</v>
      </c>
      <c r="O11" s="1" t="s">
        <v>27</v>
      </c>
      <c r="P11" s="1" t="s">
        <v>33</v>
      </c>
      <c r="Q11" s="4" t="s">
        <v>76</v>
      </c>
      <c r="R11" s="3">
        <f t="shared" si="0"/>
        <v>0.5</v>
      </c>
    </row>
    <row r="12" spans="1:18" x14ac:dyDescent="0.25">
      <c r="A12" s="1" t="s">
        <v>77</v>
      </c>
      <c r="B12" s="1" t="s">
        <v>19</v>
      </c>
      <c r="C12" s="1" t="s">
        <v>20</v>
      </c>
      <c r="D12" s="1" t="s">
        <v>65</v>
      </c>
      <c r="E12" s="1" t="s">
        <v>78</v>
      </c>
      <c r="F12" s="1">
        <v>3</v>
      </c>
      <c r="G12" s="1" t="s">
        <v>78</v>
      </c>
      <c r="H12" s="1">
        <v>3</v>
      </c>
      <c r="I12" s="1" t="s">
        <v>58</v>
      </c>
      <c r="J12" s="1" t="s">
        <v>62</v>
      </c>
      <c r="K12" s="1" t="s">
        <v>26</v>
      </c>
      <c r="L12" s="1" t="s">
        <v>60</v>
      </c>
      <c r="M12" s="1">
        <v>1</v>
      </c>
      <c r="N12" s="1" t="s">
        <v>62</v>
      </c>
      <c r="O12" s="1" t="s">
        <v>27</v>
      </c>
      <c r="P12" s="1" t="s">
        <v>33</v>
      </c>
      <c r="Q12" s="4"/>
      <c r="R12" s="3">
        <f t="shared" si="0"/>
        <v>1</v>
      </c>
    </row>
    <row r="13" spans="1:18" x14ac:dyDescent="0.25">
      <c r="A13" s="1" t="s">
        <v>79</v>
      </c>
      <c r="B13" s="1" t="s">
        <v>80</v>
      </c>
      <c r="C13" s="1" t="s">
        <v>81</v>
      </c>
      <c r="D13" s="1" t="s">
        <v>21</v>
      </c>
      <c r="E13" s="1" t="s">
        <v>82</v>
      </c>
      <c r="F13" s="1">
        <v>45</v>
      </c>
      <c r="G13" s="1" t="s">
        <v>83</v>
      </c>
      <c r="H13" s="1">
        <v>200</v>
      </c>
      <c r="I13" s="1" t="s">
        <v>24</v>
      </c>
      <c r="J13" s="1" t="s">
        <v>37</v>
      </c>
      <c r="K13" s="1" t="s">
        <v>26</v>
      </c>
      <c r="L13" s="1" t="s">
        <v>26</v>
      </c>
      <c r="M13" s="1">
        <v>30</v>
      </c>
      <c r="N13" s="1" t="s">
        <v>26</v>
      </c>
      <c r="O13" s="1" t="s">
        <v>84</v>
      </c>
      <c r="P13" s="1" t="s">
        <v>33</v>
      </c>
      <c r="Q13" s="4" t="s">
        <v>85</v>
      </c>
      <c r="R13" s="3">
        <f t="shared" si="0"/>
        <v>0.22500000000000001</v>
      </c>
    </row>
    <row r="14" spans="1:18" x14ac:dyDescent="0.25">
      <c r="A14" s="1" t="s">
        <v>86</v>
      </c>
      <c r="B14" s="1" t="s">
        <v>80</v>
      </c>
      <c r="C14" s="1" t="s">
        <v>81</v>
      </c>
      <c r="D14" s="1" t="s">
        <v>21</v>
      </c>
      <c r="E14" s="1" t="s">
        <v>87</v>
      </c>
      <c r="F14" s="1">
        <v>69</v>
      </c>
      <c r="G14" s="1" t="s">
        <v>88</v>
      </c>
      <c r="H14" s="1">
        <v>125</v>
      </c>
      <c r="I14" s="1" t="s">
        <v>89</v>
      </c>
      <c r="J14" s="1" t="s">
        <v>90</v>
      </c>
      <c r="K14" s="1" t="s">
        <v>26</v>
      </c>
      <c r="L14" s="1" t="s">
        <v>26</v>
      </c>
      <c r="M14" s="1">
        <v>30</v>
      </c>
      <c r="N14" s="1" t="s">
        <v>26</v>
      </c>
      <c r="O14" s="1" t="s">
        <v>84</v>
      </c>
      <c r="P14" s="1" t="s">
        <v>33</v>
      </c>
      <c r="Q14" s="4" t="s">
        <v>91</v>
      </c>
      <c r="R14" s="3">
        <f t="shared" si="0"/>
        <v>0.55200000000000005</v>
      </c>
    </row>
    <row r="15" spans="1:18" x14ac:dyDescent="0.25">
      <c r="A15" s="1" t="s">
        <v>92</v>
      </c>
      <c r="B15" s="1" t="s">
        <v>80</v>
      </c>
      <c r="C15" s="1" t="s">
        <v>81</v>
      </c>
      <c r="D15" s="1" t="s">
        <v>93</v>
      </c>
      <c r="E15" s="1" t="s">
        <v>94</v>
      </c>
      <c r="F15" s="1">
        <v>120</v>
      </c>
      <c r="G15" s="1" t="s">
        <v>95</v>
      </c>
      <c r="H15" s="1">
        <v>300</v>
      </c>
      <c r="I15" s="1" t="s">
        <v>58</v>
      </c>
      <c r="J15" s="1" t="s">
        <v>59</v>
      </c>
      <c r="K15" s="1" t="s">
        <v>60</v>
      </c>
      <c r="L15" s="1" t="s">
        <v>60</v>
      </c>
      <c r="M15" s="1">
        <v>90</v>
      </c>
      <c r="N15" s="1" t="s">
        <v>26</v>
      </c>
      <c r="O15" s="1" t="s">
        <v>84</v>
      </c>
      <c r="P15" s="1" t="s">
        <v>96</v>
      </c>
      <c r="Q15" s="4" t="s">
        <v>97</v>
      </c>
      <c r="R15" s="3">
        <f t="shared" si="0"/>
        <v>0.4</v>
      </c>
    </row>
    <row r="16" spans="1:18" x14ac:dyDescent="0.25">
      <c r="A16" s="1" t="s">
        <v>98</v>
      </c>
      <c r="B16" s="1" t="s">
        <v>80</v>
      </c>
      <c r="C16" s="1" t="s">
        <v>81</v>
      </c>
      <c r="D16" s="1" t="s">
        <v>99</v>
      </c>
      <c r="E16" s="1" t="s">
        <v>100</v>
      </c>
      <c r="F16" s="1">
        <v>3</v>
      </c>
      <c r="G16" s="1" t="s">
        <v>78</v>
      </c>
      <c r="H16" s="1">
        <v>3</v>
      </c>
      <c r="I16" s="1" t="s">
        <v>58</v>
      </c>
      <c r="J16" s="1" t="s">
        <v>62</v>
      </c>
      <c r="K16" s="1" t="s">
        <v>60</v>
      </c>
      <c r="L16" s="1" t="s">
        <v>60</v>
      </c>
      <c r="M16" s="1">
        <v>1</v>
      </c>
      <c r="N16" s="1" t="s">
        <v>26</v>
      </c>
      <c r="O16" s="1" t="s">
        <v>84</v>
      </c>
      <c r="P16" s="1" t="s">
        <v>33</v>
      </c>
      <c r="Q16" s="4" t="s">
        <v>101</v>
      </c>
      <c r="R16" s="3">
        <f t="shared" si="0"/>
        <v>1</v>
      </c>
    </row>
    <row r="17" spans="1:18" x14ac:dyDescent="0.25">
      <c r="A17" s="1" t="s">
        <v>102</v>
      </c>
      <c r="B17" s="1" t="s">
        <v>80</v>
      </c>
      <c r="C17" s="1" t="s">
        <v>81</v>
      </c>
      <c r="D17" s="1" t="s">
        <v>21</v>
      </c>
      <c r="E17" s="1" t="s">
        <v>103</v>
      </c>
      <c r="F17" s="1">
        <v>15</v>
      </c>
      <c r="G17" s="1" t="s">
        <v>104</v>
      </c>
      <c r="H17" s="1" t="s">
        <v>105</v>
      </c>
      <c r="I17" s="1" t="s">
        <v>105</v>
      </c>
      <c r="J17" s="1" t="s">
        <v>48</v>
      </c>
      <c r="K17" s="1" t="s">
        <v>26</v>
      </c>
      <c r="L17" s="1" t="s">
        <v>26</v>
      </c>
      <c r="M17" s="1">
        <v>7</v>
      </c>
      <c r="N17" s="1" t="s">
        <v>26</v>
      </c>
      <c r="O17" s="1" t="s">
        <v>84</v>
      </c>
      <c r="P17" s="1" t="s">
        <v>33</v>
      </c>
      <c r="Q17" s="4" t="s">
        <v>106</v>
      </c>
      <c r="R17" s="3" t="e">
        <f>F17/H17</f>
        <v>#VALUE!</v>
      </c>
    </row>
    <row r="18" spans="1:18" x14ac:dyDescent="0.25">
      <c r="A18" s="1" t="s">
        <v>107</v>
      </c>
      <c r="B18" s="1" t="s">
        <v>80</v>
      </c>
      <c r="C18" s="1" t="s">
        <v>81</v>
      </c>
      <c r="D18" s="1" t="s">
        <v>21</v>
      </c>
      <c r="E18" s="1" t="s">
        <v>108</v>
      </c>
      <c r="F18" s="1">
        <v>49</v>
      </c>
      <c r="G18" s="1" t="s">
        <v>109</v>
      </c>
      <c r="H18" s="1">
        <v>85</v>
      </c>
      <c r="I18" s="1" t="s">
        <v>89</v>
      </c>
      <c r="J18" s="1" t="s">
        <v>90</v>
      </c>
      <c r="K18" s="1" t="s">
        <v>26</v>
      </c>
      <c r="L18" s="1" t="s">
        <v>26</v>
      </c>
      <c r="M18" s="1">
        <v>30</v>
      </c>
      <c r="N18" s="1" t="s">
        <v>26</v>
      </c>
      <c r="O18" s="1" t="s">
        <v>84</v>
      </c>
      <c r="P18" s="1" t="s">
        <v>33</v>
      </c>
      <c r="Q18" s="4" t="s">
        <v>110</v>
      </c>
      <c r="R18" s="3">
        <f t="shared" si="0"/>
        <v>0.57647058823529407</v>
      </c>
    </row>
    <row r="19" spans="1:18" x14ac:dyDescent="0.25">
      <c r="A19" s="1" t="s">
        <v>111</v>
      </c>
      <c r="B19" s="1" t="s">
        <v>80</v>
      </c>
      <c r="C19" s="1" t="s">
        <v>81</v>
      </c>
      <c r="D19" s="1" t="s">
        <v>21</v>
      </c>
      <c r="E19" s="1" t="s">
        <v>112</v>
      </c>
      <c r="F19" s="1">
        <v>40</v>
      </c>
      <c r="G19" s="1" t="s">
        <v>113</v>
      </c>
      <c r="H19" s="1">
        <v>10</v>
      </c>
      <c r="I19" s="1" t="s">
        <v>89</v>
      </c>
      <c r="J19" s="1" t="s">
        <v>114</v>
      </c>
      <c r="K19" s="1" t="s">
        <v>26</v>
      </c>
      <c r="L19" s="1" t="s">
        <v>26</v>
      </c>
      <c r="M19" s="1">
        <v>30</v>
      </c>
      <c r="N19" s="1" t="s">
        <v>26</v>
      </c>
      <c r="O19" s="1" t="s">
        <v>84</v>
      </c>
      <c r="P19" s="1" t="s">
        <v>33</v>
      </c>
      <c r="Q19" s="4" t="s">
        <v>115</v>
      </c>
      <c r="R19" s="3">
        <f t="shared" si="0"/>
        <v>4</v>
      </c>
    </row>
    <row r="20" spans="1:18" x14ac:dyDescent="0.25">
      <c r="A20" s="1" t="s">
        <v>116</v>
      </c>
      <c r="B20" s="1" t="s">
        <v>80</v>
      </c>
      <c r="C20" s="1" t="s">
        <v>81</v>
      </c>
      <c r="D20" s="1" t="s">
        <v>117</v>
      </c>
      <c r="E20" s="1" t="s">
        <v>118</v>
      </c>
      <c r="F20" s="1">
        <v>65</v>
      </c>
      <c r="G20" s="1" t="s">
        <v>119</v>
      </c>
      <c r="H20" s="1">
        <v>500</v>
      </c>
      <c r="I20" s="1" t="s">
        <v>58</v>
      </c>
      <c r="J20" s="1" t="s">
        <v>62</v>
      </c>
      <c r="K20" s="1" t="s">
        <v>26</v>
      </c>
      <c r="L20" s="1" t="s">
        <v>120</v>
      </c>
      <c r="M20" s="1">
        <v>28</v>
      </c>
      <c r="N20" s="1" t="s">
        <v>26</v>
      </c>
      <c r="O20" s="1" t="s">
        <v>84</v>
      </c>
      <c r="P20" s="1" t="s">
        <v>33</v>
      </c>
      <c r="Q20" s="4" t="s">
        <v>121</v>
      </c>
      <c r="R20" s="3">
        <f t="shared" si="0"/>
        <v>0.13</v>
      </c>
    </row>
    <row r="21" spans="1:18" x14ac:dyDescent="0.25">
      <c r="A21" s="1" t="s">
        <v>122</v>
      </c>
      <c r="B21" s="1" t="s">
        <v>80</v>
      </c>
      <c r="C21" s="1" t="s">
        <v>81</v>
      </c>
      <c r="D21" s="1" t="s">
        <v>55</v>
      </c>
      <c r="E21" s="1" t="s">
        <v>123</v>
      </c>
      <c r="F21" s="1">
        <v>8</v>
      </c>
      <c r="G21" s="1" t="s">
        <v>124</v>
      </c>
      <c r="H21" s="1">
        <v>2025</v>
      </c>
      <c r="I21" s="1" t="s">
        <v>58</v>
      </c>
      <c r="J21" s="1" t="s">
        <v>59</v>
      </c>
      <c r="K21" s="1" t="s">
        <v>60</v>
      </c>
      <c r="L21" s="1" t="s">
        <v>60</v>
      </c>
      <c r="M21" s="1">
        <v>4</v>
      </c>
      <c r="N21" s="1" t="s">
        <v>27</v>
      </c>
      <c r="O21" s="1" t="s">
        <v>125</v>
      </c>
      <c r="P21" s="1" t="s">
        <v>33</v>
      </c>
      <c r="Q21" s="4" t="s">
        <v>126</v>
      </c>
      <c r="R21" s="3">
        <f t="shared" si="0"/>
        <v>3.9506172839506174E-3</v>
      </c>
    </row>
    <row r="22" spans="1:18" s="1" customFormat="1" x14ac:dyDescent="0.25">
      <c r="A22" s="1" t="s">
        <v>127</v>
      </c>
      <c r="B22" s="1" t="s">
        <v>128</v>
      </c>
      <c r="C22" s="1" t="s">
        <v>129</v>
      </c>
      <c r="D22" s="1" t="s">
        <v>130</v>
      </c>
      <c r="E22" s="1" t="s">
        <v>131</v>
      </c>
      <c r="F22" s="1">
        <v>35</v>
      </c>
      <c r="G22" s="1" t="s">
        <v>132</v>
      </c>
      <c r="H22" s="1">
        <v>1000</v>
      </c>
      <c r="I22" s="1" t="s">
        <v>58</v>
      </c>
      <c r="J22" s="1" t="s">
        <v>133</v>
      </c>
      <c r="K22" s="1" t="s">
        <v>26</v>
      </c>
      <c r="L22" s="1" t="s">
        <v>26</v>
      </c>
      <c r="M22" s="1">
        <v>30</v>
      </c>
      <c r="N22" s="1" t="s">
        <v>26</v>
      </c>
      <c r="P22" s="1" t="s">
        <v>33</v>
      </c>
      <c r="Q22" s="4" t="s">
        <v>134</v>
      </c>
      <c r="R22" s="3">
        <f t="shared" si="0"/>
        <v>3.5000000000000003E-2</v>
      </c>
    </row>
    <row r="23" spans="1:18" s="1" customFormat="1" x14ac:dyDescent="0.25">
      <c r="A23" s="1" t="s">
        <v>135</v>
      </c>
      <c r="B23" s="1" t="s">
        <v>128</v>
      </c>
      <c r="C23" s="1" t="s">
        <v>129</v>
      </c>
      <c r="D23" s="1" t="s">
        <v>130</v>
      </c>
      <c r="E23" s="1" t="s">
        <v>136</v>
      </c>
      <c r="F23" s="1">
        <v>25</v>
      </c>
      <c r="G23" s="1" t="s">
        <v>137</v>
      </c>
      <c r="H23" s="1">
        <v>100</v>
      </c>
      <c r="I23" s="1" t="s">
        <v>58</v>
      </c>
      <c r="J23" s="1" t="s">
        <v>133</v>
      </c>
      <c r="K23" s="1" t="s">
        <v>26</v>
      </c>
      <c r="L23" s="1" t="s">
        <v>26</v>
      </c>
      <c r="M23" s="1">
        <v>30</v>
      </c>
      <c r="N23" s="1" t="s">
        <v>26</v>
      </c>
      <c r="P23" s="1" t="s">
        <v>33</v>
      </c>
      <c r="Q23" s="4" t="s">
        <v>138</v>
      </c>
      <c r="R23" s="3">
        <f t="shared" si="0"/>
        <v>0.25</v>
      </c>
    </row>
    <row r="24" spans="1:18" s="1" customFormat="1" x14ac:dyDescent="0.25">
      <c r="A24" s="1" t="s">
        <v>139</v>
      </c>
      <c r="B24" s="1" t="s">
        <v>128</v>
      </c>
      <c r="C24" s="1" t="s">
        <v>129</v>
      </c>
      <c r="D24" s="1" t="s">
        <v>130</v>
      </c>
      <c r="E24" s="1" t="s">
        <v>140</v>
      </c>
      <c r="F24" s="1">
        <v>10</v>
      </c>
      <c r="G24" s="1" t="s">
        <v>141</v>
      </c>
      <c r="H24" s="1">
        <v>20</v>
      </c>
      <c r="I24" s="1" t="s">
        <v>58</v>
      </c>
      <c r="J24" s="1" t="s">
        <v>133</v>
      </c>
      <c r="K24" s="1" t="s">
        <v>26</v>
      </c>
      <c r="L24" s="1" t="s">
        <v>26</v>
      </c>
      <c r="M24" s="1">
        <v>7</v>
      </c>
      <c r="N24" s="1" t="s">
        <v>26</v>
      </c>
      <c r="P24" s="1" t="s">
        <v>33</v>
      </c>
      <c r="Q24" s="4" t="s">
        <v>142</v>
      </c>
      <c r="R24" s="3">
        <f t="shared" si="0"/>
        <v>0.5</v>
      </c>
    </row>
    <row r="25" spans="1:18" s="1" customFormat="1" x14ac:dyDescent="0.25">
      <c r="A25" s="1" t="s">
        <v>143</v>
      </c>
      <c r="B25" s="1" t="s">
        <v>128</v>
      </c>
      <c r="C25" s="1" t="s">
        <v>129</v>
      </c>
      <c r="D25" s="1" t="s">
        <v>130</v>
      </c>
      <c r="E25" s="1" t="s">
        <v>144</v>
      </c>
      <c r="F25" s="1">
        <v>50</v>
      </c>
      <c r="G25" s="1" t="s">
        <v>132</v>
      </c>
      <c r="H25" s="1">
        <v>1000</v>
      </c>
      <c r="I25" s="1" t="s">
        <v>58</v>
      </c>
      <c r="J25" s="1" t="s">
        <v>145</v>
      </c>
      <c r="K25" s="1" t="s">
        <v>26</v>
      </c>
      <c r="L25" s="1" t="s">
        <v>26</v>
      </c>
      <c r="M25" s="1">
        <v>30</v>
      </c>
      <c r="N25" s="1" t="s">
        <v>26</v>
      </c>
      <c r="P25" s="1" t="s">
        <v>33</v>
      </c>
      <c r="Q25" s="4" t="s">
        <v>146</v>
      </c>
      <c r="R25" s="3">
        <f t="shared" si="0"/>
        <v>0.05</v>
      </c>
    </row>
    <row r="26" spans="1:18" s="1" customFormat="1" x14ac:dyDescent="0.25">
      <c r="A26" s="1" t="s">
        <v>147</v>
      </c>
      <c r="B26" s="1" t="s">
        <v>128</v>
      </c>
      <c r="C26" s="1" t="s">
        <v>129</v>
      </c>
      <c r="D26" s="1" t="s">
        <v>148</v>
      </c>
      <c r="E26" s="1" t="s">
        <v>149</v>
      </c>
      <c r="F26" s="1">
        <v>180</v>
      </c>
      <c r="G26" s="1" t="s">
        <v>150</v>
      </c>
      <c r="H26" s="1">
        <v>120</v>
      </c>
      <c r="I26" s="1" t="s">
        <v>58</v>
      </c>
      <c r="J26" s="1" t="s">
        <v>151</v>
      </c>
      <c r="K26" s="1" t="s">
        <v>26</v>
      </c>
      <c r="L26" s="1" t="s">
        <v>26</v>
      </c>
      <c r="M26" s="1">
        <v>365</v>
      </c>
      <c r="N26" s="1" t="s">
        <v>26</v>
      </c>
      <c r="P26" s="1" t="s">
        <v>33</v>
      </c>
      <c r="Q26" s="4" t="s">
        <v>152</v>
      </c>
      <c r="R26" s="3">
        <f t="shared" si="0"/>
        <v>1.5</v>
      </c>
    </row>
    <row r="27" spans="1:18" s="1" customFormat="1" x14ac:dyDescent="0.25">
      <c r="A27" s="1" t="s">
        <v>153</v>
      </c>
      <c r="B27" s="1" t="s">
        <v>128</v>
      </c>
      <c r="C27" s="1" t="s">
        <v>129</v>
      </c>
      <c r="D27" s="1" t="s">
        <v>148</v>
      </c>
      <c r="E27" s="1" t="s">
        <v>154</v>
      </c>
      <c r="F27" s="1">
        <v>50</v>
      </c>
      <c r="G27" s="1" t="s">
        <v>155</v>
      </c>
      <c r="H27" s="1">
        <v>15</v>
      </c>
      <c r="I27" s="1" t="s">
        <v>58</v>
      </c>
      <c r="J27" s="1" t="s">
        <v>151</v>
      </c>
      <c r="K27" s="1" t="s">
        <v>26</v>
      </c>
      <c r="L27" s="1" t="s">
        <v>26</v>
      </c>
      <c r="M27" s="1">
        <v>90</v>
      </c>
      <c r="N27" s="1" t="s">
        <v>26</v>
      </c>
      <c r="P27" s="1" t="s">
        <v>33</v>
      </c>
      <c r="Q27" s="4" t="s">
        <v>156</v>
      </c>
      <c r="R27" s="3">
        <f t="shared" si="0"/>
        <v>3.3333333333333335</v>
      </c>
    </row>
    <row r="28" spans="1:18" x14ac:dyDescent="0.25">
      <c r="A28" s="1" t="s">
        <v>157</v>
      </c>
      <c r="B28" s="1" t="s">
        <v>26</v>
      </c>
      <c r="C28" s="1" t="s">
        <v>158</v>
      </c>
      <c r="D28" s="1" t="s">
        <v>159</v>
      </c>
      <c r="E28" s="1" t="s">
        <v>160</v>
      </c>
      <c r="F28" s="1">
        <v>10</v>
      </c>
      <c r="G28" s="1" t="s">
        <v>161</v>
      </c>
      <c r="H28" s="1">
        <v>20</v>
      </c>
      <c r="I28" s="1" t="s">
        <v>58</v>
      </c>
      <c r="J28" s="1" t="s">
        <v>162</v>
      </c>
      <c r="K28" s="1" t="s">
        <v>26</v>
      </c>
      <c r="L28" s="1" t="s">
        <v>26</v>
      </c>
      <c r="M28" s="1">
        <v>30</v>
      </c>
      <c r="N28" s="1" t="s">
        <v>26</v>
      </c>
      <c r="O28" s="1"/>
      <c r="P28" s="1" t="s">
        <v>33</v>
      </c>
      <c r="Q28" s="4" t="s">
        <v>163</v>
      </c>
      <c r="R28" s="3">
        <f t="shared" si="0"/>
        <v>0.5</v>
      </c>
    </row>
    <row r="29" spans="1:18" x14ac:dyDescent="0.25">
      <c r="A29" s="1" t="s">
        <v>164</v>
      </c>
      <c r="B29" s="1" t="s">
        <v>26</v>
      </c>
      <c r="C29" s="1" t="s">
        <v>158</v>
      </c>
      <c r="D29" s="1" t="s">
        <v>159</v>
      </c>
      <c r="E29" s="1" t="s">
        <v>165</v>
      </c>
      <c r="F29" s="1">
        <v>20</v>
      </c>
      <c r="G29" s="1" t="s">
        <v>166</v>
      </c>
      <c r="H29" s="1">
        <v>50</v>
      </c>
      <c r="I29" s="1" t="s">
        <v>58</v>
      </c>
      <c r="J29" s="1" t="s">
        <v>162</v>
      </c>
      <c r="K29" s="1" t="s">
        <v>26</v>
      </c>
      <c r="L29" s="1" t="s">
        <v>26</v>
      </c>
      <c r="M29" s="1">
        <v>30</v>
      </c>
      <c r="N29" s="1" t="s">
        <v>26</v>
      </c>
      <c r="O29" s="1"/>
      <c r="P29" s="1" t="s">
        <v>33</v>
      </c>
      <c r="Q29" s="4" t="s">
        <v>167</v>
      </c>
      <c r="R29" s="3">
        <f t="shared" si="0"/>
        <v>0.4</v>
      </c>
    </row>
    <row r="30" spans="1:18" x14ac:dyDescent="0.25">
      <c r="A30" s="1" t="s">
        <v>168</v>
      </c>
      <c r="B30" s="1" t="s">
        <v>26</v>
      </c>
      <c r="C30" s="1" t="s">
        <v>158</v>
      </c>
      <c r="D30" s="1" t="s">
        <v>159</v>
      </c>
      <c r="E30" s="1" t="s">
        <v>169</v>
      </c>
      <c r="F30" s="1">
        <v>30</v>
      </c>
      <c r="G30" s="1" t="s">
        <v>170</v>
      </c>
      <c r="H30" s="1" t="s">
        <v>105</v>
      </c>
      <c r="I30" s="1" t="s">
        <v>105</v>
      </c>
      <c r="J30" s="1" t="s">
        <v>171</v>
      </c>
      <c r="K30" s="1" t="s">
        <v>26</v>
      </c>
      <c r="L30" s="1" t="s">
        <v>26</v>
      </c>
      <c r="M30" s="1">
        <v>30</v>
      </c>
      <c r="N30" s="1" t="s">
        <v>26</v>
      </c>
      <c r="O30" s="1"/>
      <c r="P30" s="1" t="s">
        <v>33</v>
      </c>
      <c r="Q30" s="4" t="s">
        <v>172</v>
      </c>
      <c r="R30" s="3" t="e">
        <f t="shared" si="0"/>
        <v>#VALUE!</v>
      </c>
    </row>
    <row r="31" spans="1:18" x14ac:dyDescent="0.25">
      <c r="A31" s="1" t="s">
        <v>173</v>
      </c>
      <c r="B31" s="1" t="s">
        <v>174</v>
      </c>
      <c r="C31" s="1" t="s">
        <v>175</v>
      </c>
      <c r="D31" s="1" t="s">
        <v>159</v>
      </c>
      <c r="E31" s="1" t="s">
        <v>176</v>
      </c>
      <c r="F31" s="1">
        <v>28</v>
      </c>
      <c r="G31" s="1" t="s">
        <v>177</v>
      </c>
      <c r="H31" s="1">
        <v>50</v>
      </c>
      <c r="I31" s="1" t="s">
        <v>58</v>
      </c>
      <c r="J31" s="1" t="s">
        <v>178</v>
      </c>
      <c r="K31" s="1" t="s">
        <v>26</v>
      </c>
      <c r="L31" s="1" t="s">
        <v>26</v>
      </c>
      <c r="M31" s="1">
        <v>30</v>
      </c>
      <c r="N31" s="1" t="s">
        <v>26</v>
      </c>
      <c r="O31" s="1"/>
      <c r="P31" s="1" t="s">
        <v>33</v>
      </c>
      <c r="Q31" s="4" t="s">
        <v>179</v>
      </c>
      <c r="R31" s="3">
        <f t="shared" si="0"/>
        <v>0.56000000000000005</v>
      </c>
    </row>
    <row r="32" spans="1:18" x14ac:dyDescent="0.25">
      <c r="A32" s="1" t="s">
        <v>180</v>
      </c>
      <c r="B32" s="1" t="s">
        <v>174</v>
      </c>
      <c r="C32" s="1" t="s">
        <v>175</v>
      </c>
      <c r="D32" s="1" t="s">
        <v>159</v>
      </c>
      <c r="E32" s="1" t="s">
        <v>181</v>
      </c>
      <c r="F32" s="1">
        <v>50</v>
      </c>
      <c r="G32" s="1" t="s">
        <v>119</v>
      </c>
      <c r="H32" s="1">
        <v>500</v>
      </c>
      <c r="I32" s="1" t="s">
        <v>58</v>
      </c>
      <c r="J32" s="1" t="s">
        <v>178</v>
      </c>
      <c r="K32" s="1" t="s">
        <v>26</v>
      </c>
      <c r="L32" s="1" t="s">
        <v>26</v>
      </c>
      <c r="M32" s="1">
        <v>30</v>
      </c>
      <c r="N32" s="1" t="s">
        <v>26</v>
      </c>
      <c r="O32" s="1"/>
      <c r="P32" s="1" t="s">
        <v>33</v>
      </c>
      <c r="Q32" s="4" t="s">
        <v>182</v>
      </c>
      <c r="R32" s="3">
        <f t="shared" si="0"/>
        <v>0.1</v>
      </c>
    </row>
    <row r="33" spans="1:18" x14ac:dyDescent="0.25">
      <c r="A33" s="1" t="s">
        <v>183</v>
      </c>
      <c r="B33" s="1" t="s">
        <v>174</v>
      </c>
      <c r="C33" s="1" t="s">
        <v>175</v>
      </c>
      <c r="D33" s="1" t="s">
        <v>159</v>
      </c>
      <c r="E33" s="1" t="s">
        <v>184</v>
      </c>
      <c r="F33" s="1">
        <v>35</v>
      </c>
      <c r="G33" s="1" t="s">
        <v>185</v>
      </c>
      <c r="H33" s="1">
        <v>200</v>
      </c>
      <c r="I33" s="1" t="s">
        <v>58</v>
      </c>
      <c r="J33" s="1" t="s">
        <v>178</v>
      </c>
      <c r="K33" s="1" t="s">
        <v>26</v>
      </c>
      <c r="L33" s="1" t="s">
        <v>26</v>
      </c>
      <c r="M33" s="1">
        <v>30</v>
      </c>
      <c r="N33" s="1" t="s">
        <v>26</v>
      </c>
      <c r="O33" s="1"/>
      <c r="P33" s="1" t="s">
        <v>33</v>
      </c>
      <c r="Q33" s="4" t="s">
        <v>186</v>
      </c>
      <c r="R33" s="3">
        <f t="shared" si="0"/>
        <v>0.17499999999999999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2"/>
  <sheetViews>
    <sheetView tabSelected="1" workbookViewId="0">
      <selection activeCell="C7" sqref="C7"/>
    </sheetView>
  </sheetViews>
  <sheetFormatPr defaultRowHeight="15" x14ac:dyDescent="0.25"/>
  <cols>
    <col min="1" max="1" width="12" customWidth="1"/>
    <col min="2" max="2" width="15" customWidth="1"/>
    <col min="3" max="3" width="22" customWidth="1"/>
    <col min="4" max="4" width="28" customWidth="1"/>
    <col min="5" max="6" width="10" customWidth="1"/>
    <col min="7" max="7" width="26" customWidth="1"/>
    <col min="8" max="8" width="30" customWidth="1"/>
    <col min="9" max="9" width="16.42578125" customWidth="1"/>
    <col min="10" max="10" width="16" customWidth="1"/>
    <col min="11" max="11" width="14" customWidth="1"/>
    <col min="12" max="13" width="12" customWidth="1"/>
    <col min="14" max="14" width="14" customWidth="1"/>
  </cols>
  <sheetData>
    <row r="1" spans="1:14" ht="30" x14ac:dyDescent="0.25">
      <c r="A1" s="5" t="s">
        <v>0</v>
      </c>
      <c r="B1" s="5" t="s">
        <v>1</v>
      </c>
      <c r="C1" s="5" t="s">
        <v>223</v>
      </c>
      <c r="D1" s="5" t="s">
        <v>187</v>
      </c>
      <c r="E1" s="5" t="s">
        <v>5</v>
      </c>
      <c r="F1" s="5" t="s">
        <v>188</v>
      </c>
      <c r="G1" s="5" t="s">
        <v>189</v>
      </c>
      <c r="H1" s="5" t="s">
        <v>190</v>
      </c>
      <c r="I1" s="5" t="s">
        <v>191</v>
      </c>
      <c r="J1" s="5" t="s">
        <v>192</v>
      </c>
      <c r="K1" s="5" t="s">
        <v>12</v>
      </c>
      <c r="L1" s="5" t="s">
        <v>193</v>
      </c>
      <c r="M1" s="5" t="s">
        <v>194</v>
      </c>
      <c r="N1" s="5" t="s">
        <v>195</v>
      </c>
    </row>
    <row r="2" spans="1:14" s="10" customFormat="1" x14ac:dyDescent="0.25">
      <c r="A2" s="7" t="s">
        <v>18</v>
      </c>
      <c r="B2" s="7" t="s">
        <v>19</v>
      </c>
      <c r="C2" s="7" t="s">
        <v>21</v>
      </c>
      <c r="D2" s="7" t="s">
        <v>22</v>
      </c>
      <c r="E2" s="8">
        <v>55</v>
      </c>
      <c r="F2" s="8">
        <v>400</v>
      </c>
      <c r="G2" s="7" t="s">
        <v>24</v>
      </c>
      <c r="H2" s="7" t="s">
        <v>25</v>
      </c>
      <c r="I2" s="7" t="s">
        <v>26</v>
      </c>
      <c r="J2" s="7" t="s">
        <v>26</v>
      </c>
      <c r="K2" s="9">
        <v>30</v>
      </c>
      <c r="L2" s="7" t="s">
        <v>26</v>
      </c>
      <c r="M2" s="8">
        <f t="shared" ref="M2:M32" si="0">IFERROR(E2/F2,"")</f>
        <v>0.13750000000000001</v>
      </c>
      <c r="N2" s="8">
        <f t="shared" ref="N2:N32" si="1">IFERROR(E2/K2,"")</f>
        <v>1.8333333333333333</v>
      </c>
    </row>
    <row r="3" spans="1:14" s="10" customFormat="1" x14ac:dyDescent="0.25">
      <c r="A3" s="7" t="s">
        <v>30</v>
      </c>
      <c r="B3" s="7" t="s">
        <v>19</v>
      </c>
      <c r="C3" s="7" t="s">
        <v>21</v>
      </c>
      <c r="D3" s="7" t="s">
        <v>31</v>
      </c>
      <c r="E3" s="8">
        <v>50</v>
      </c>
      <c r="F3" s="8">
        <v>200</v>
      </c>
      <c r="G3" s="7" t="s">
        <v>24</v>
      </c>
      <c r="H3" s="7" t="s">
        <v>25</v>
      </c>
      <c r="I3" s="7" t="s">
        <v>26</v>
      </c>
      <c r="J3" s="7" t="s">
        <v>26</v>
      </c>
      <c r="K3" s="9">
        <v>30</v>
      </c>
      <c r="L3" s="7" t="s">
        <v>26</v>
      </c>
      <c r="M3" s="8">
        <f t="shared" si="0"/>
        <v>0.25</v>
      </c>
      <c r="N3" s="8">
        <f t="shared" si="1"/>
        <v>1.6666666666666667</v>
      </c>
    </row>
    <row r="4" spans="1:14" s="10" customFormat="1" x14ac:dyDescent="0.25">
      <c r="A4" s="7" t="s">
        <v>34</v>
      </c>
      <c r="B4" s="7" t="s">
        <v>19</v>
      </c>
      <c r="C4" s="7" t="s">
        <v>21</v>
      </c>
      <c r="D4" s="7" t="s">
        <v>35</v>
      </c>
      <c r="E4" s="8">
        <v>40</v>
      </c>
      <c r="F4" s="8">
        <v>200</v>
      </c>
      <c r="G4" s="7" t="s">
        <v>24</v>
      </c>
      <c r="H4" s="7" t="s">
        <v>37</v>
      </c>
      <c r="I4" s="7" t="s">
        <v>26</v>
      </c>
      <c r="J4" s="7" t="s">
        <v>26</v>
      </c>
      <c r="K4" s="9">
        <v>30</v>
      </c>
      <c r="L4" s="7" t="s">
        <v>26</v>
      </c>
      <c r="M4" s="8">
        <f t="shared" si="0"/>
        <v>0.2</v>
      </c>
      <c r="N4" s="8">
        <f t="shared" si="1"/>
        <v>1.3333333333333333</v>
      </c>
    </row>
    <row r="5" spans="1:14" s="10" customFormat="1" x14ac:dyDescent="0.25">
      <c r="A5" s="7" t="s">
        <v>40</v>
      </c>
      <c r="B5" s="7" t="s">
        <v>19</v>
      </c>
      <c r="C5" s="7" t="s">
        <v>21</v>
      </c>
      <c r="D5" s="7" t="s">
        <v>41</v>
      </c>
      <c r="E5" s="8">
        <v>25</v>
      </c>
      <c r="F5" s="8">
        <v>40</v>
      </c>
      <c r="G5" s="7" t="s">
        <v>24</v>
      </c>
      <c r="H5" s="7" t="s">
        <v>43</v>
      </c>
      <c r="I5" s="7" t="s">
        <v>26</v>
      </c>
      <c r="J5" s="7" t="s">
        <v>26</v>
      </c>
      <c r="K5" s="9">
        <v>30</v>
      </c>
      <c r="L5" s="7" t="s">
        <v>26</v>
      </c>
      <c r="M5" s="8">
        <f t="shared" si="0"/>
        <v>0.625</v>
      </c>
      <c r="N5" s="8">
        <f t="shared" si="1"/>
        <v>0.83333333333333337</v>
      </c>
    </row>
    <row r="6" spans="1:14" s="10" customFormat="1" x14ac:dyDescent="0.25">
      <c r="A6" s="7" t="s">
        <v>45</v>
      </c>
      <c r="B6" s="7" t="s">
        <v>19</v>
      </c>
      <c r="C6" s="7" t="s">
        <v>21</v>
      </c>
      <c r="D6" s="7" t="s">
        <v>46</v>
      </c>
      <c r="E6" s="8">
        <v>12</v>
      </c>
      <c r="F6" s="8">
        <v>20</v>
      </c>
      <c r="G6" s="7" t="s">
        <v>24</v>
      </c>
      <c r="H6" s="7" t="s">
        <v>48</v>
      </c>
      <c r="I6" s="7" t="s">
        <v>26</v>
      </c>
      <c r="J6" s="7" t="s">
        <v>26</v>
      </c>
      <c r="K6" s="9">
        <v>7</v>
      </c>
      <c r="L6" s="7" t="s">
        <v>26</v>
      </c>
      <c r="M6" s="8">
        <f t="shared" si="0"/>
        <v>0.6</v>
      </c>
      <c r="N6" s="8">
        <f t="shared" si="1"/>
        <v>1.7142857142857142</v>
      </c>
    </row>
    <row r="7" spans="1:14" s="10" customFormat="1" x14ac:dyDescent="0.25">
      <c r="A7" s="7" t="s">
        <v>50</v>
      </c>
      <c r="B7" s="7" t="s">
        <v>19</v>
      </c>
      <c r="C7" s="7" t="s">
        <v>21</v>
      </c>
      <c r="D7" s="7" t="s">
        <v>51</v>
      </c>
      <c r="E7" s="8">
        <v>4</v>
      </c>
      <c r="F7" s="8">
        <v>6</v>
      </c>
      <c r="G7" s="7" t="s">
        <v>24</v>
      </c>
      <c r="H7" s="7" t="s">
        <v>48</v>
      </c>
      <c r="I7" s="7" t="s">
        <v>26</v>
      </c>
      <c r="J7" s="7" t="s">
        <v>26</v>
      </c>
      <c r="K7" s="9">
        <v>1</v>
      </c>
      <c r="L7" s="7" t="s">
        <v>26</v>
      </c>
      <c r="M7" s="8">
        <f t="shared" si="0"/>
        <v>0.66666666666666663</v>
      </c>
      <c r="N7" s="8">
        <f t="shared" si="1"/>
        <v>4</v>
      </c>
    </row>
    <row r="8" spans="1:14" s="10" customFormat="1" x14ac:dyDescent="0.25">
      <c r="A8" s="11" t="s">
        <v>54</v>
      </c>
      <c r="B8" s="7" t="s">
        <v>19</v>
      </c>
      <c r="C8" s="7" t="s">
        <v>65</v>
      </c>
      <c r="D8" s="7" t="s">
        <v>66</v>
      </c>
      <c r="E8" s="8">
        <v>35</v>
      </c>
      <c r="F8" s="8">
        <v>100</v>
      </c>
      <c r="G8" s="7" t="s">
        <v>58</v>
      </c>
      <c r="H8" s="7" t="s">
        <v>62</v>
      </c>
      <c r="I8" s="7" t="s">
        <v>26</v>
      </c>
      <c r="J8" s="7" t="s">
        <v>26</v>
      </c>
      <c r="K8" s="9">
        <v>30</v>
      </c>
      <c r="L8" s="7" t="s">
        <v>26</v>
      </c>
      <c r="M8" s="8">
        <f t="shared" si="0"/>
        <v>0.35</v>
      </c>
      <c r="N8" s="8">
        <f t="shared" si="1"/>
        <v>1.1666666666666667</v>
      </c>
    </row>
    <row r="9" spans="1:14" s="10" customFormat="1" x14ac:dyDescent="0.25">
      <c r="A9" s="11" t="s">
        <v>64</v>
      </c>
      <c r="B9" s="7" t="s">
        <v>19</v>
      </c>
      <c r="C9" s="7" t="s">
        <v>65</v>
      </c>
      <c r="D9" s="7" t="s">
        <v>70</v>
      </c>
      <c r="E9" s="8">
        <v>25</v>
      </c>
      <c r="F9" s="8">
        <v>60</v>
      </c>
      <c r="G9" s="7" t="s">
        <v>58</v>
      </c>
      <c r="H9" s="7" t="s">
        <v>62</v>
      </c>
      <c r="I9" s="7" t="s">
        <v>26</v>
      </c>
      <c r="J9" s="7" t="s">
        <v>26</v>
      </c>
      <c r="K9" s="9">
        <v>30</v>
      </c>
      <c r="L9" s="7" t="s">
        <v>26</v>
      </c>
      <c r="M9" s="8">
        <f t="shared" si="0"/>
        <v>0.41666666666666669</v>
      </c>
      <c r="N9" s="8">
        <f t="shared" si="1"/>
        <v>0.83333333333333337</v>
      </c>
    </row>
    <row r="10" spans="1:14" s="10" customFormat="1" x14ac:dyDescent="0.25">
      <c r="A10" s="11" t="s">
        <v>222</v>
      </c>
      <c r="B10" s="7" t="s">
        <v>19</v>
      </c>
      <c r="C10" s="7" t="s">
        <v>65</v>
      </c>
      <c r="D10" s="7" t="s">
        <v>74</v>
      </c>
      <c r="E10" s="8">
        <v>10</v>
      </c>
      <c r="F10" s="8">
        <v>20</v>
      </c>
      <c r="G10" s="7" t="s">
        <v>58</v>
      </c>
      <c r="H10" s="7" t="s">
        <v>62</v>
      </c>
      <c r="I10" s="7" t="s">
        <v>26</v>
      </c>
      <c r="J10" s="7" t="s">
        <v>26</v>
      </c>
      <c r="K10" s="9">
        <v>7</v>
      </c>
      <c r="L10" s="7" t="s">
        <v>26</v>
      </c>
      <c r="M10" s="8">
        <f t="shared" si="0"/>
        <v>0.5</v>
      </c>
      <c r="N10" s="8">
        <f t="shared" si="1"/>
        <v>1.4285714285714286</v>
      </c>
    </row>
    <row r="11" spans="1:14" s="10" customFormat="1" x14ac:dyDescent="0.25">
      <c r="A11" s="11" t="s">
        <v>73</v>
      </c>
      <c r="B11" s="7" t="s">
        <v>19</v>
      </c>
      <c r="C11" s="7" t="s">
        <v>65</v>
      </c>
      <c r="D11" s="7" t="s">
        <v>78</v>
      </c>
      <c r="E11" s="8">
        <v>3</v>
      </c>
      <c r="F11" s="8">
        <v>3</v>
      </c>
      <c r="G11" s="7" t="s">
        <v>58</v>
      </c>
      <c r="H11" s="7" t="s">
        <v>62</v>
      </c>
      <c r="I11" s="7" t="s">
        <v>26</v>
      </c>
      <c r="J11" s="7" t="s">
        <v>60</v>
      </c>
      <c r="K11" s="9">
        <v>1</v>
      </c>
      <c r="L11" s="7" t="s">
        <v>62</v>
      </c>
      <c r="M11" s="8">
        <f t="shared" si="0"/>
        <v>1</v>
      </c>
      <c r="N11" s="8">
        <f t="shared" si="1"/>
        <v>3</v>
      </c>
    </row>
    <row r="12" spans="1:14" s="10" customFormat="1" x14ac:dyDescent="0.25">
      <c r="A12" s="7" t="s">
        <v>79</v>
      </c>
      <c r="B12" s="7" t="s">
        <v>80</v>
      </c>
      <c r="C12" s="7" t="s">
        <v>21</v>
      </c>
      <c r="D12" s="7" t="s">
        <v>82</v>
      </c>
      <c r="E12" s="8">
        <v>45</v>
      </c>
      <c r="F12" s="8">
        <v>200</v>
      </c>
      <c r="G12" s="7" t="s">
        <v>24</v>
      </c>
      <c r="H12" s="7" t="s">
        <v>37</v>
      </c>
      <c r="I12" s="7" t="s">
        <v>26</v>
      </c>
      <c r="J12" s="7" t="s">
        <v>26</v>
      </c>
      <c r="K12" s="9">
        <v>30</v>
      </c>
      <c r="L12" s="7" t="s">
        <v>26</v>
      </c>
      <c r="M12" s="8">
        <f t="shared" si="0"/>
        <v>0.22500000000000001</v>
      </c>
      <c r="N12" s="8">
        <f t="shared" si="1"/>
        <v>1.5</v>
      </c>
    </row>
    <row r="13" spans="1:14" s="10" customFormat="1" ht="30" x14ac:dyDescent="0.25">
      <c r="A13" s="7" t="s">
        <v>86</v>
      </c>
      <c r="B13" s="7" t="s">
        <v>80</v>
      </c>
      <c r="C13" s="7" t="s">
        <v>21</v>
      </c>
      <c r="D13" s="7" t="s">
        <v>87</v>
      </c>
      <c r="E13" s="8">
        <v>69</v>
      </c>
      <c r="F13" s="8">
        <v>125</v>
      </c>
      <c r="G13" s="7" t="s">
        <v>89</v>
      </c>
      <c r="H13" s="7" t="s">
        <v>90</v>
      </c>
      <c r="I13" s="7" t="s">
        <v>26</v>
      </c>
      <c r="J13" s="7" t="s">
        <v>26</v>
      </c>
      <c r="K13" s="9">
        <v>30</v>
      </c>
      <c r="L13" s="7" t="s">
        <v>26</v>
      </c>
      <c r="M13" s="8">
        <f t="shared" si="0"/>
        <v>0.55200000000000005</v>
      </c>
      <c r="N13" s="8">
        <f t="shared" si="1"/>
        <v>2.2999999999999998</v>
      </c>
    </row>
    <row r="14" spans="1:14" s="10" customFormat="1" x14ac:dyDescent="0.25">
      <c r="A14" s="7" t="s">
        <v>92</v>
      </c>
      <c r="B14" s="7" t="s">
        <v>80</v>
      </c>
      <c r="C14" s="7" t="s">
        <v>93</v>
      </c>
      <c r="D14" s="7" t="s">
        <v>94</v>
      </c>
      <c r="E14" s="8">
        <v>120</v>
      </c>
      <c r="F14" s="8">
        <v>300</v>
      </c>
      <c r="G14" s="7" t="s">
        <v>58</v>
      </c>
      <c r="H14" s="7" t="s">
        <v>59</v>
      </c>
      <c r="I14" s="7" t="s">
        <v>60</v>
      </c>
      <c r="J14" s="7" t="s">
        <v>60</v>
      </c>
      <c r="K14" s="9">
        <v>90</v>
      </c>
      <c r="L14" s="7" t="s">
        <v>26</v>
      </c>
      <c r="M14" s="8">
        <f t="shared" si="0"/>
        <v>0.4</v>
      </c>
      <c r="N14" s="8">
        <f t="shared" si="1"/>
        <v>1.3333333333333333</v>
      </c>
    </row>
    <row r="15" spans="1:14" s="10" customFormat="1" x14ac:dyDescent="0.25">
      <c r="A15" s="7" t="s">
        <v>98</v>
      </c>
      <c r="B15" s="7" t="s">
        <v>80</v>
      </c>
      <c r="C15" s="7" t="s">
        <v>99</v>
      </c>
      <c r="D15" s="7" t="s">
        <v>100</v>
      </c>
      <c r="E15" s="8">
        <v>3</v>
      </c>
      <c r="F15" s="8">
        <v>3</v>
      </c>
      <c r="G15" s="7" t="s">
        <v>58</v>
      </c>
      <c r="H15" s="7" t="s">
        <v>62</v>
      </c>
      <c r="I15" s="7" t="s">
        <v>60</v>
      </c>
      <c r="J15" s="7" t="s">
        <v>60</v>
      </c>
      <c r="K15" s="9">
        <v>1</v>
      </c>
      <c r="L15" s="7" t="s">
        <v>26</v>
      </c>
      <c r="M15" s="8">
        <f t="shared" si="0"/>
        <v>1</v>
      </c>
      <c r="N15" s="8">
        <f t="shared" si="1"/>
        <v>3</v>
      </c>
    </row>
    <row r="16" spans="1:14" s="10" customFormat="1" x14ac:dyDescent="0.25">
      <c r="A16" s="7" t="s">
        <v>102</v>
      </c>
      <c r="B16" s="7" t="s">
        <v>80</v>
      </c>
      <c r="C16" s="7" t="s">
        <v>21</v>
      </c>
      <c r="D16" s="7" t="s">
        <v>103</v>
      </c>
      <c r="E16" s="8">
        <v>15</v>
      </c>
      <c r="F16" s="8"/>
      <c r="G16" s="7" t="s">
        <v>105</v>
      </c>
      <c r="H16" s="7" t="s">
        <v>48</v>
      </c>
      <c r="I16" s="7" t="s">
        <v>26</v>
      </c>
      <c r="J16" s="7" t="s">
        <v>26</v>
      </c>
      <c r="K16" s="9">
        <v>7</v>
      </c>
      <c r="L16" s="7" t="s">
        <v>26</v>
      </c>
      <c r="M16" s="8" t="str">
        <f t="shared" si="0"/>
        <v/>
      </c>
      <c r="N16" s="8">
        <f t="shared" si="1"/>
        <v>2.1428571428571428</v>
      </c>
    </row>
    <row r="17" spans="1:14" s="10" customFormat="1" ht="30" x14ac:dyDescent="0.25">
      <c r="A17" s="7" t="s">
        <v>107</v>
      </c>
      <c r="B17" s="7" t="s">
        <v>80</v>
      </c>
      <c r="C17" s="7" t="s">
        <v>21</v>
      </c>
      <c r="D17" s="7" t="s">
        <v>108</v>
      </c>
      <c r="E17" s="8">
        <v>49</v>
      </c>
      <c r="F17" s="8">
        <v>85</v>
      </c>
      <c r="G17" s="7" t="s">
        <v>89</v>
      </c>
      <c r="H17" s="7" t="s">
        <v>90</v>
      </c>
      <c r="I17" s="7" t="s">
        <v>26</v>
      </c>
      <c r="J17" s="7" t="s">
        <v>26</v>
      </c>
      <c r="K17" s="9">
        <v>30</v>
      </c>
      <c r="L17" s="7" t="s">
        <v>26</v>
      </c>
      <c r="M17" s="8">
        <f t="shared" si="0"/>
        <v>0.57647058823529407</v>
      </c>
      <c r="N17" s="8">
        <f t="shared" si="1"/>
        <v>1.6333333333333333</v>
      </c>
    </row>
    <row r="18" spans="1:14" s="10" customFormat="1" ht="30" x14ac:dyDescent="0.25">
      <c r="A18" s="7" t="s">
        <v>111</v>
      </c>
      <c r="B18" s="7" t="s">
        <v>80</v>
      </c>
      <c r="C18" s="7" t="s">
        <v>21</v>
      </c>
      <c r="D18" s="7" t="s">
        <v>112</v>
      </c>
      <c r="E18" s="8">
        <v>40</v>
      </c>
      <c r="F18" s="8">
        <v>10</v>
      </c>
      <c r="G18" s="7" t="s">
        <v>89</v>
      </c>
      <c r="H18" s="7" t="s">
        <v>114</v>
      </c>
      <c r="I18" s="7" t="s">
        <v>26</v>
      </c>
      <c r="J18" s="7" t="s">
        <v>26</v>
      </c>
      <c r="K18" s="9">
        <v>30</v>
      </c>
      <c r="L18" s="7" t="s">
        <v>26</v>
      </c>
      <c r="M18" s="8">
        <f t="shared" si="0"/>
        <v>4</v>
      </c>
      <c r="N18" s="8">
        <f t="shared" si="1"/>
        <v>1.3333333333333333</v>
      </c>
    </row>
    <row r="19" spans="1:14" s="10" customFormat="1" x14ac:dyDescent="0.25">
      <c r="A19" s="7" t="s">
        <v>116</v>
      </c>
      <c r="B19" s="7" t="s">
        <v>80</v>
      </c>
      <c r="C19" s="7" t="s">
        <v>117</v>
      </c>
      <c r="D19" s="7" t="s">
        <v>118</v>
      </c>
      <c r="E19" s="8">
        <v>65</v>
      </c>
      <c r="F19" s="8">
        <v>500</v>
      </c>
      <c r="G19" s="7" t="s">
        <v>58</v>
      </c>
      <c r="H19" s="7" t="s">
        <v>62</v>
      </c>
      <c r="I19" s="7" t="s">
        <v>26</v>
      </c>
      <c r="J19" s="7" t="s">
        <v>120</v>
      </c>
      <c r="K19" s="9">
        <v>28</v>
      </c>
      <c r="L19" s="7" t="s">
        <v>26</v>
      </c>
      <c r="M19" s="8">
        <f t="shared" si="0"/>
        <v>0.13</v>
      </c>
      <c r="N19" s="8">
        <f t="shared" si="1"/>
        <v>2.3214285714285716</v>
      </c>
    </row>
    <row r="20" spans="1:14" s="10" customFormat="1" x14ac:dyDescent="0.25">
      <c r="A20" s="7" t="s">
        <v>122</v>
      </c>
      <c r="B20" s="7" t="s">
        <v>80</v>
      </c>
      <c r="C20" s="7" t="s">
        <v>55</v>
      </c>
      <c r="D20" s="7" t="s">
        <v>123</v>
      </c>
      <c r="E20" s="8">
        <v>8</v>
      </c>
      <c r="F20" s="8">
        <v>2025</v>
      </c>
      <c r="G20" s="7" t="s">
        <v>58</v>
      </c>
      <c r="H20" s="7" t="s">
        <v>59</v>
      </c>
      <c r="I20" s="7" t="s">
        <v>60</v>
      </c>
      <c r="J20" s="7" t="s">
        <v>60</v>
      </c>
      <c r="K20" s="9">
        <v>4</v>
      </c>
      <c r="L20" s="7" t="s">
        <v>27</v>
      </c>
      <c r="M20" s="8">
        <f t="shared" si="0"/>
        <v>3.9506172839506174E-3</v>
      </c>
      <c r="N20" s="8">
        <f t="shared" si="1"/>
        <v>2</v>
      </c>
    </row>
    <row r="21" spans="1:14" s="10" customFormat="1" x14ac:dyDescent="0.25">
      <c r="A21" s="7" t="s">
        <v>127</v>
      </c>
      <c r="B21" s="7" t="s">
        <v>128</v>
      </c>
      <c r="C21" s="7" t="s">
        <v>130</v>
      </c>
      <c r="D21" s="7" t="s">
        <v>131</v>
      </c>
      <c r="E21" s="8">
        <v>35</v>
      </c>
      <c r="F21" s="8">
        <v>1000</v>
      </c>
      <c r="G21" s="7" t="s">
        <v>58</v>
      </c>
      <c r="H21" s="7" t="s">
        <v>133</v>
      </c>
      <c r="I21" s="7" t="s">
        <v>26</v>
      </c>
      <c r="J21" s="7" t="s">
        <v>26</v>
      </c>
      <c r="K21" s="9">
        <v>30</v>
      </c>
      <c r="L21" s="7" t="s">
        <v>26</v>
      </c>
      <c r="M21" s="8">
        <f t="shared" si="0"/>
        <v>3.5000000000000003E-2</v>
      </c>
      <c r="N21" s="8">
        <f t="shared" si="1"/>
        <v>1.1666666666666667</v>
      </c>
    </row>
    <row r="22" spans="1:14" s="10" customFormat="1" x14ac:dyDescent="0.25">
      <c r="A22" s="7" t="s">
        <v>135</v>
      </c>
      <c r="B22" s="7" t="s">
        <v>128</v>
      </c>
      <c r="C22" s="7" t="s">
        <v>130</v>
      </c>
      <c r="D22" s="7" t="s">
        <v>136</v>
      </c>
      <c r="E22" s="8">
        <v>25</v>
      </c>
      <c r="F22" s="8">
        <v>100</v>
      </c>
      <c r="G22" s="7" t="s">
        <v>58</v>
      </c>
      <c r="H22" s="7" t="s">
        <v>133</v>
      </c>
      <c r="I22" s="7" t="s">
        <v>26</v>
      </c>
      <c r="J22" s="7" t="s">
        <v>26</v>
      </c>
      <c r="K22" s="9">
        <v>30</v>
      </c>
      <c r="L22" s="7" t="s">
        <v>26</v>
      </c>
      <c r="M22" s="8">
        <f t="shared" si="0"/>
        <v>0.25</v>
      </c>
      <c r="N22" s="8">
        <f t="shared" si="1"/>
        <v>0.83333333333333337</v>
      </c>
    </row>
    <row r="23" spans="1:14" s="10" customFormat="1" x14ac:dyDescent="0.25">
      <c r="A23" s="7" t="s">
        <v>139</v>
      </c>
      <c r="B23" s="7" t="s">
        <v>128</v>
      </c>
      <c r="C23" s="7" t="s">
        <v>130</v>
      </c>
      <c r="D23" s="7" t="s">
        <v>140</v>
      </c>
      <c r="E23" s="8">
        <v>10</v>
      </c>
      <c r="F23" s="8">
        <v>20</v>
      </c>
      <c r="G23" s="7" t="s">
        <v>58</v>
      </c>
      <c r="H23" s="7" t="s">
        <v>133</v>
      </c>
      <c r="I23" s="7" t="s">
        <v>26</v>
      </c>
      <c r="J23" s="7" t="s">
        <v>26</v>
      </c>
      <c r="K23" s="9">
        <v>7</v>
      </c>
      <c r="L23" s="7" t="s">
        <v>26</v>
      </c>
      <c r="M23" s="8">
        <f t="shared" si="0"/>
        <v>0.5</v>
      </c>
      <c r="N23" s="8">
        <f t="shared" si="1"/>
        <v>1.4285714285714286</v>
      </c>
    </row>
    <row r="24" spans="1:14" s="10" customFormat="1" x14ac:dyDescent="0.25">
      <c r="A24" s="7" t="s">
        <v>143</v>
      </c>
      <c r="B24" s="7" t="s">
        <v>128</v>
      </c>
      <c r="C24" s="7" t="s">
        <v>130</v>
      </c>
      <c r="D24" s="7" t="s">
        <v>144</v>
      </c>
      <c r="E24" s="8">
        <v>50</v>
      </c>
      <c r="F24" s="8">
        <v>1000</v>
      </c>
      <c r="G24" s="7" t="s">
        <v>58</v>
      </c>
      <c r="H24" s="7" t="s">
        <v>145</v>
      </c>
      <c r="I24" s="7" t="s">
        <v>26</v>
      </c>
      <c r="J24" s="7" t="s">
        <v>26</v>
      </c>
      <c r="K24" s="9">
        <v>30</v>
      </c>
      <c r="L24" s="7" t="s">
        <v>26</v>
      </c>
      <c r="M24" s="8">
        <f t="shared" si="0"/>
        <v>0.05</v>
      </c>
      <c r="N24" s="8">
        <f t="shared" si="1"/>
        <v>1.6666666666666667</v>
      </c>
    </row>
    <row r="25" spans="1:14" s="10" customFormat="1" ht="30" x14ac:dyDescent="0.25">
      <c r="A25" s="7" t="s">
        <v>147</v>
      </c>
      <c r="B25" s="7" t="s">
        <v>128</v>
      </c>
      <c r="C25" s="7" t="s">
        <v>148</v>
      </c>
      <c r="D25" s="7" t="s">
        <v>149</v>
      </c>
      <c r="E25" s="8">
        <v>180</v>
      </c>
      <c r="F25" s="8">
        <v>120</v>
      </c>
      <c r="G25" s="7" t="s">
        <v>58</v>
      </c>
      <c r="H25" s="7" t="s">
        <v>151</v>
      </c>
      <c r="I25" s="7" t="s">
        <v>26</v>
      </c>
      <c r="J25" s="7" t="s">
        <v>26</v>
      </c>
      <c r="K25" s="9">
        <v>365</v>
      </c>
      <c r="L25" s="7" t="s">
        <v>26</v>
      </c>
      <c r="M25" s="8">
        <f t="shared" si="0"/>
        <v>1.5</v>
      </c>
      <c r="N25" s="8">
        <f t="shared" si="1"/>
        <v>0.49315068493150682</v>
      </c>
    </row>
    <row r="26" spans="1:14" s="10" customFormat="1" ht="30" x14ac:dyDescent="0.25">
      <c r="A26" s="7" t="s">
        <v>153</v>
      </c>
      <c r="B26" s="7" t="s">
        <v>128</v>
      </c>
      <c r="C26" s="7" t="s">
        <v>148</v>
      </c>
      <c r="D26" s="7" t="s">
        <v>154</v>
      </c>
      <c r="E26" s="8">
        <v>50</v>
      </c>
      <c r="F26" s="8">
        <v>15</v>
      </c>
      <c r="G26" s="7" t="s">
        <v>58</v>
      </c>
      <c r="H26" s="7" t="s">
        <v>151</v>
      </c>
      <c r="I26" s="7" t="s">
        <v>26</v>
      </c>
      <c r="J26" s="7" t="s">
        <v>26</v>
      </c>
      <c r="K26" s="9">
        <v>90</v>
      </c>
      <c r="L26" s="7" t="s">
        <v>26</v>
      </c>
      <c r="M26" s="8">
        <f t="shared" si="0"/>
        <v>3.3333333333333335</v>
      </c>
      <c r="N26" s="8">
        <f t="shared" si="1"/>
        <v>0.55555555555555558</v>
      </c>
    </row>
    <row r="27" spans="1:14" s="10" customFormat="1" x14ac:dyDescent="0.25">
      <c r="A27" s="7" t="s">
        <v>157</v>
      </c>
      <c r="B27" s="7" t="s">
        <v>26</v>
      </c>
      <c r="C27" s="7" t="s">
        <v>159</v>
      </c>
      <c r="D27" s="7" t="s">
        <v>160</v>
      </c>
      <c r="E27" s="8">
        <v>10</v>
      </c>
      <c r="F27" s="8">
        <v>20</v>
      </c>
      <c r="G27" s="7" t="s">
        <v>58</v>
      </c>
      <c r="H27" s="7" t="s">
        <v>162</v>
      </c>
      <c r="I27" s="7" t="s">
        <v>26</v>
      </c>
      <c r="J27" s="7" t="s">
        <v>26</v>
      </c>
      <c r="K27" s="9">
        <v>30</v>
      </c>
      <c r="L27" s="7" t="s">
        <v>26</v>
      </c>
      <c r="M27" s="8">
        <f t="shared" si="0"/>
        <v>0.5</v>
      </c>
      <c r="N27" s="8">
        <f t="shared" si="1"/>
        <v>0.33333333333333331</v>
      </c>
    </row>
    <row r="28" spans="1:14" s="10" customFormat="1" x14ac:dyDescent="0.25">
      <c r="A28" s="7" t="s">
        <v>164</v>
      </c>
      <c r="B28" s="7" t="s">
        <v>26</v>
      </c>
      <c r="C28" s="7" t="s">
        <v>159</v>
      </c>
      <c r="D28" s="7" t="s">
        <v>165</v>
      </c>
      <c r="E28" s="8">
        <v>20</v>
      </c>
      <c r="F28" s="8">
        <v>50</v>
      </c>
      <c r="G28" s="7" t="s">
        <v>58</v>
      </c>
      <c r="H28" s="7" t="s">
        <v>162</v>
      </c>
      <c r="I28" s="7" t="s">
        <v>26</v>
      </c>
      <c r="J28" s="7" t="s">
        <v>26</v>
      </c>
      <c r="K28" s="9">
        <v>30</v>
      </c>
      <c r="L28" s="7" t="s">
        <v>26</v>
      </c>
      <c r="M28" s="8">
        <f>IFERROR(E28/F28,"")</f>
        <v>0.4</v>
      </c>
      <c r="N28" s="8">
        <f t="shared" si="1"/>
        <v>0.66666666666666663</v>
      </c>
    </row>
    <row r="29" spans="1:14" s="10" customFormat="1" ht="30" x14ac:dyDescent="0.25">
      <c r="A29" s="7" t="s">
        <v>168</v>
      </c>
      <c r="B29" s="7" t="s">
        <v>26</v>
      </c>
      <c r="C29" s="7" t="s">
        <v>159</v>
      </c>
      <c r="D29" s="7" t="s">
        <v>169</v>
      </c>
      <c r="E29" s="8">
        <v>30</v>
      </c>
      <c r="F29" s="8"/>
      <c r="G29" s="7" t="s">
        <v>105</v>
      </c>
      <c r="H29" s="7" t="s">
        <v>171</v>
      </c>
      <c r="I29" s="7" t="s">
        <v>26</v>
      </c>
      <c r="J29" s="7" t="s">
        <v>26</v>
      </c>
      <c r="K29" s="9">
        <v>30</v>
      </c>
      <c r="L29" s="7" t="s">
        <v>26</v>
      </c>
      <c r="M29" s="8" t="str">
        <f>IFERROR(E29/F29,"")</f>
        <v/>
      </c>
      <c r="N29" s="8">
        <f t="shared" si="1"/>
        <v>1</v>
      </c>
    </row>
    <row r="30" spans="1:14" s="10" customFormat="1" ht="30" x14ac:dyDescent="0.25">
      <c r="A30" s="7" t="s">
        <v>173</v>
      </c>
      <c r="B30" s="7" t="s">
        <v>174</v>
      </c>
      <c r="C30" s="7" t="s">
        <v>159</v>
      </c>
      <c r="D30" s="7" t="s">
        <v>176</v>
      </c>
      <c r="E30" s="8">
        <v>28</v>
      </c>
      <c r="F30" s="8">
        <v>50</v>
      </c>
      <c r="G30" s="7" t="s">
        <v>58</v>
      </c>
      <c r="H30" s="7" t="s">
        <v>178</v>
      </c>
      <c r="I30" s="7" t="s">
        <v>26</v>
      </c>
      <c r="J30" s="7" t="s">
        <v>26</v>
      </c>
      <c r="K30" s="9">
        <v>30</v>
      </c>
      <c r="L30" s="7" t="s">
        <v>26</v>
      </c>
      <c r="M30" s="8">
        <f t="shared" si="0"/>
        <v>0.56000000000000005</v>
      </c>
      <c r="N30" s="8">
        <f t="shared" si="1"/>
        <v>0.93333333333333335</v>
      </c>
    </row>
    <row r="31" spans="1:14" s="10" customFormat="1" ht="30" x14ac:dyDescent="0.25">
      <c r="A31" s="7" t="s">
        <v>180</v>
      </c>
      <c r="B31" s="7" t="s">
        <v>174</v>
      </c>
      <c r="C31" s="7" t="s">
        <v>159</v>
      </c>
      <c r="D31" s="7" t="s">
        <v>181</v>
      </c>
      <c r="E31" s="8">
        <v>50</v>
      </c>
      <c r="F31" s="8">
        <v>500</v>
      </c>
      <c r="G31" s="7" t="s">
        <v>58</v>
      </c>
      <c r="H31" s="7" t="s">
        <v>178</v>
      </c>
      <c r="I31" s="7" t="s">
        <v>26</v>
      </c>
      <c r="J31" s="7" t="s">
        <v>26</v>
      </c>
      <c r="K31" s="9">
        <v>30</v>
      </c>
      <c r="L31" s="7" t="s">
        <v>26</v>
      </c>
      <c r="M31" s="8">
        <f t="shared" si="0"/>
        <v>0.1</v>
      </c>
      <c r="N31" s="8">
        <f t="shared" si="1"/>
        <v>1.6666666666666667</v>
      </c>
    </row>
    <row r="32" spans="1:14" s="10" customFormat="1" ht="30" x14ac:dyDescent="0.25">
      <c r="A32" s="7" t="s">
        <v>183</v>
      </c>
      <c r="B32" s="7" t="s">
        <v>174</v>
      </c>
      <c r="C32" s="7" t="s">
        <v>159</v>
      </c>
      <c r="D32" s="7" t="s">
        <v>184</v>
      </c>
      <c r="E32" s="8">
        <v>35</v>
      </c>
      <c r="F32" s="8">
        <v>200</v>
      </c>
      <c r="G32" s="7" t="s">
        <v>58</v>
      </c>
      <c r="H32" s="7" t="s">
        <v>178</v>
      </c>
      <c r="I32" s="7" t="s">
        <v>26</v>
      </c>
      <c r="J32" s="7" t="s">
        <v>26</v>
      </c>
      <c r="K32" s="9">
        <v>30</v>
      </c>
      <c r="L32" s="7" t="s">
        <v>26</v>
      </c>
      <c r="M32" s="8">
        <f t="shared" si="0"/>
        <v>0.17499999999999999</v>
      </c>
      <c r="N32" s="8">
        <f t="shared" si="1"/>
        <v>1.1666666666666667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selection activeCell="B13" sqref="B13"/>
    </sheetView>
  </sheetViews>
  <sheetFormatPr defaultRowHeight="15" x14ac:dyDescent="0.25"/>
  <cols>
    <col min="1" max="1" width="20" customWidth="1"/>
    <col min="2" max="2" width="26" customWidth="1"/>
    <col min="3" max="3" width="32" customWidth="1"/>
    <col min="4" max="4" width="65" customWidth="1"/>
  </cols>
  <sheetData>
    <row r="1" spans="1:4" x14ac:dyDescent="0.25">
      <c r="A1" s="5" t="s">
        <v>196</v>
      </c>
      <c r="B1" s="5" t="s">
        <v>197</v>
      </c>
      <c r="C1" s="5" t="s">
        <v>198</v>
      </c>
      <c r="D1" s="5" t="s">
        <v>199</v>
      </c>
    </row>
    <row r="2" spans="1:4" ht="45" x14ac:dyDescent="0.25">
      <c r="A2" s="12" t="s">
        <v>200</v>
      </c>
      <c r="B2" s="12" t="s">
        <v>2</v>
      </c>
      <c r="C2" s="12" t="s">
        <v>201</v>
      </c>
      <c r="D2" s="6" t="s">
        <v>202</v>
      </c>
    </row>
    <row r="3" spans="1:4" ht="45" x14ac:dyDescent="0.25">
      <c r="A3" s="12" t="s">
        <v>200</v>
      </c>
      <c r="B3" s="12" t="s">
        <v>6</v>
      </c>
      <c r="C3" s="12" t="s">
        <v>201</v>
      </c>
      <c r="D3" s="6" t="s">
        <v>203</v>
      </c>
    </row>
    <row r="4" spans="1:4" ht="45" x14ac:dyDescent="0.25">
      <c r="A4" s="12" t="s">
        <v>200</v>
      </c>
      <c r="B4" s="12" t="s">
        <v>14</v>
      </c>
      <c r="C4" s="12" t="s">
        <v>201</v>
      </c>
      <c r="D4" s="6" t="s">
        <v>204</v>
      </c>
    </row>
    <row r="5" spans="1:4" ht="30" x14ac:dyDescent="0.25">
      <c r="A5" s="12" t="s">
        <v>200</v>
      </c>
      <c r="B5" s="12" t="s">
        <v>15</v>
      </c>
      <c r="C5" s="12" t="s">
        <v>201</v>
      </c>
      <c r="D5" s="6" t="s">
        <v>205</v>
      </c>
    </row>
    <row r="6" spans="1:4" ht="30" x14ac:dyDescent="0.25">
      <c r="A6" s="12" t="s">
        <v>200</v>
      </c>
      <c r="B6" s="12" t="s">
        <v>16</v>
      </c>
      <c r="C6" s="12" t="s">
        <v>201</v>
      </c>
      <c r="D6" s="6" t="s">
        <v>206</v>
      </c>
    </row>
    <row r="7" spans="1:4" ht="30" x14ac:dyDescent="0.25">
      <c r="A7" s="12" t="s">
        <v>207</v>
      </c>
      <c r="B7" s="12" t="s">
        <v>7</v>
      </c>
      <c r="C7" s="12" t="s">
        <v>208</v>
      </c>
      <c r="D7" s="6" t="s">
        <v>209</v>
      </c>
    </row>
    <row r="8" spans="1:4" ht="30" x14ac:dyDescent="0.25">
      <c r="A8" s="12" t="s">
        <v>210</v>
      </c>
      <c r="B8" s="12" t="s">
        <v>211</v>
      </c>
      <c r="C8" s="12" t="s">
        <v>212</v>
      </c>
      <c r="D8" s="6" t="s">
        <v>213</v>
      </c>
    </row>
    <row r="9" spans="1:4" ht="30" x14ac:dyDescent="0.25">
      <c r="A9" s="12" t="s">
        <v>210</v>
      </c>
      <c r="B9" s="12" t="s">
        <v>214</v>
      </c>
      <c r="C9" s="12" t="s">
        <v>215</v>
      </c>
      <c r="D9" s="6" t="s">
        <v>216</v>
      </c>
    </row>
    <row r="10" spans="1:4" ht="30" x14ac:dyDescent="0.25">
      <c r="A10" s="12" t="s">
        <v>217</v>
      </c>
      <c r="B10" s="12" t="s">
        <v>194</v>
      </c>
      <c r="C10" s="12" t="s">
        <v>218</v>
      </c>
      <c r="D10" s="6" t="s">
        <v>219</v>
      </c>
    </row>
    <row r="11" spans="1:4" ht="30" x14ac:dyDescent="0.25">
      <c r="A11" s="12" t="s">
        <v>217</v>
      </c>
      <c r="B11" s="12" t="s">
        <v>195</v>
      </c>
      <c r="C11" s="12" t="s">
        <v>220</v>
      </c>
      <c r="D11" s="6" t="s">
        <v>221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Cleaned_Data</vt:lpstr>
      <vt:lpstr>Cleaning_Log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YASER E H ABULABAN</cp:lastModifiedBy>
  <dcterms:modified xsi:type="dcterms:W3CDTF">2026-05-11T07:19:59Z</dcterms:modified>
</cp:coreProperties>
</file>